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 defaultThemeVersion="124226"/>
  <bookViews>
    <workbookView xWindow="-45" yWindow="0" windowWidth="9885" windowHeight="8145" tabRatio="816"/>
  </bookViews>
  <sheets>
    <sheet name="VLOSREG" sheetId="11" r:id="rId1"/>
    <sheet name="PAXREG" sheetId="16" r:id="rId2"/>
    <sheet name="CARGREG" sheetId="17" r:id="rId3"/>
    <sheet name="OPREG" sheetId="21" r:id="rId4"/>
    <sheet name="VLOSFLET" sheetId="18" r:id="rId5"/>
    <sheet name="PAXFLET" sheetId="19" r:id="rId6"/>
    <sheet name="CARGFLET" sheetId="20" r:id="rId7"/>
    <sheet name="OPFLET" sheetId="22" r:id="rId8"/>
  </sheets>
  <definedNames>
    <definedName name="_xlnm._FilterDatabase" localSheetId="6" hidden="1">CARGFLET!$A$21:$N$25</definedName>
    <definedName name="_xlnm._FilterDatabase" localSheetId="2" hidden="1">CARGREG!$A$22:$N$29</definedName>
    <definedName name="_xlnm._FilterDatabase" localSheetId="7" hidden="1">OPFLET!$A$6:$H$6</definedName>
    <definedName name="_xlnm._FilterDatabase" localSheetId="3" hidden="1">OPREG!$A$6:$I$917</definedName>
    <definedName name="_xlnm._FilterDatabase" localSheetId="5" hidden="1">PAXFLET!$A$21:$N$27</definedName>
    <definedName name="_xlnm._FilterDatabase" localSheetId="1" hidden="1">PAXREG!$A$22:$N$28</definedName>
    <definedName name="_xlnm._FilterDatabase" localSheetId="4" hidden="1">VLOSFLET!$A$26:$N$34</definedName>
    <definedName name="_xlnm._FilterDatabase" localSheetId="0" hidden="1">VLOSREG!#REF!</definedName>
    <definedName name="_xlnm.Print_Area" localSheetId="6">CARGFLET!$A$1:$N$58</definedName>
    <definedName name="_xlnm.Print_Area" localSheetId="2">CARGREG!$A$1:$N$87</definedName>
    <definedName name="_xlnm.Print_Area" localSheetId="7">OPFLET!$A$1:$H$4</definedName>
    <definedName name="_xlnm.Print_Area" localSheetId="3">OPREG!$A$1:$I$4</definedName>
    <definedName name="_xlnm.Print_Area" localSheetId="5">PAXFLET!$A$1:$N$80</definedName>
    <definedName name="_xlnm.Print_Area" localSheetId="1">PAXREG!$A$1:$N$92</definedName>
    <definedName name="_xlnm.Print_Area" localSheetId="4">VLOSFLET!$A$1:$N$106</definedName>
    <definedName name="_xlnm.Print_Area" localSheetId="0">VLOSREG!$A$1:$N$113</definedName>
  </definedNames>
  <calcPr calcId="152511"/>
</workbook>
</file>

<file path=xl/calcChain.xml><?xml version="1.0" encoding="utf-8"?>
<calcChain xmlns="http://schemas.openxmlformats.org/spreadsheetml/2006/main">
  <c r="N41" i="19" l="1"/>
  <c r="N54" i="18"/>
  <c r="N55" i="18"/>
  <c r="N56" i="18"/>
  <c r="N57" i="18"/>
  <c r="B37" i="18" l="1"/>
  <c r="L37" i="18"/>
  <c r="B20" i="18"/>
  <c r="C20" i="18"/>
  <c r="D20" i="18"/>
  <c r="E20" i="18"/>
  <c r="F20" i="18"/>
  <c r="G20" i="18"/>
  <c r="H20" i="18"/>
  <c r="I20" i="18"/>
  <c r="J20" i="18"/>
  <c r="K20" i="18"/>
  <c r="L20" i="18"/>
  <c r="M20" i="18"/>
  <c r="B52" i="19"/>
  <c r="B56" i="19"/>
  <c r="B63" i="19"/>
  <c r="B29" i="19"/>
  <c r="C29" i="19"/>
  <c r="D29" i="19"/>
  <c r="E29" i="19"/>
  <c r="F29" i="19"/>
  <c r="G29" i="19"/>
  <c r="H29" i="19"/>
  <c r="I29" i="19"/>
  <c r="J29" i="19"/>
  <c r="K29" i="19"/>
  <c r="L29" i="19"/>
  <c r="B15" i="19"/>
  <c r="C15" i="19"/>
  <c r="D15" i="19"/>
  <c r="E15" i="19"/>
  <c r="F15" i="19"/>
  <c r="G15" i="19"/>
  <c r="H15" i="19"/>
  <c r="I15" i="19"/>
  <c r="J15" i="19"/>
  <c r="K15" i="19"/>
  <c r="L15" i="19"/>
  <c r="C37" i="18"/>
  <c r="D37" i="18"/>
  <c r="E37" i="18"/>
  <c r="F37" i="18"/>
  <c r="G37" i="18"/>
  <c r="H37" i="18"/>
  <c r="I37" i="18"/>
  <c r="J37" i="18"/>
  <c r="K37" i="18"/>
  <c r="N58" i="19"/>
  <c r="N7" i="20"/>
  <c r="N50" i="20"/>
  <c r="N51" i="20"/>
  <c r="L15" i="20"/>
  <c r="M15" i="20"/>
  <c r="K15" i="20"/>
  <c r="N77" i="19"/>
  <c r="N78" i="19"/>
  <c r="M15" i="19"/>
  <c r="N7" i="19"/>
  <c r="N82" i="18"/>
  <c r="N83" i="18"/>
  <c r="N97" i="18"/>
  <c r="N98" i="18"/>
  <c r="N99" i="18"/>
  <c r="N100" i="18"/>
  <c r="N101" i="18"/>
  <c r="N102" i="18"/>
  <c r="N71" i="18" l="1"/>
  <c r="N72" i="18"/>
  <c r="N7" i="18"/>
  <c r="N51" i="18" l="1"/>
  <c r="N52" i="18"/>
  <c r="N53" i="18"/>
  <c r="N40" i="19"/>
  <c r="N42" i="19"/>
  <c r="N43" i="19"/>
  <c r="B67" i="17" l="1"/>
  <c r="C67" i="17"/>
  <c r="D67" i="17"/>
  <c r="E67" i="17"/>
  <c r="F67" i="17"/>
  <c r="G67" i="17"/>
  <c r="H67" i="17"/>
  <c r="I67" i="17"/>
  <c r="J67" i="17"/>
  <c r="N81" i="17"/>
  <c r="N82" i="17"/>
  <c r="L67" i="17"/>
  <c r="M67" i="17"/>
  <c r="K67" i="17"/>
  <c r="K29" i="16"/>
  <c r="N90" i="16"/>
  <c r="N107" i="11"/>
  <c r="N75" i="17" l="1"/>
  <c r="N69" i="17"/>
  <c r="N27" i="17" l="1"/>
  <c r="N28" i="17"/>
  <c r="N93" i="11" l="1"/>
  <c r="N18" i="18" l="1"/>
  <c r="N14" i="20"/>
  <c r="C15" i="20"/>
  <c r="D15" i="20"/>
  <c r="E15" i="20"/>
  <c r="F15" i="20"/>
  <c r="G15" i="20"/>
  <c r="H15" i="20"/>
  <c r="J15" i="20"/>
  <c r="B15" i="20"/>
  <c r="I15" i="20" l="1"/>
  <c r="C56" i="20" l="1"/>
  <c r="D56" i="20"/>
  <c r="E56" i="20"/>
  <c r="F56" i="20"/>
  <c r="G56" i="20"/>
  <c r="H56" i="20"/>
  <c r="I56" i="20"/>
  <c r="J56" i="20"/>
  <c r="K56" i="20"/>
  <c r="L56" i="20"/>
  <c r="M56" i="20"/>
  <c r="C54" i="20"/>
  <c r="D54" i="20"/>
  <c r="E54" i="20"/>
  <c r="F54" i="20"/>
  <c r="G54" i="20"/>
  <c r="H54" i="20"/>
  <c r="I54" i="20"/>
  <c r="J54" i="20"/>
  <c r="K54" i="20"/>
  <c r="L54" i="20"/>
  <c r="M54" i="20"/>
  <c r="C52" i="20"/>
  <c r="D52" i="20"/>
  <c r="E52" i="20"/>
  <c r="F52" i="20"/>
  <c r="G52" i="20"/>
  <c r="H52" i="20"/>
  <c r="I52" i="20"/>
  <c r="J52" i="20"/>
  <c r="K52" i="20"/>
  <c r="L52" i="20"/>
  <c r="M52" i="20"/>
  <c r="C35" i="20"/>
  <c r="D35" i="20"/>
  <c r="E35" i="20"/>
  <c r="F35" i="20"/>
  <c r="G35" i="20"/>
  <c r="H35" i="20"/>
  <c r="I35" i="20"/>
  <c r="J35" i="20"/>
  <c r="K35" i="20"/>
  <c r="L35" i="20"/>
  <c r="M35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23" i="20"/>
  <c r="N24" i="20"/>
  <c r="N25" i="20"/>
  <c r="N26" i="20"/>
  <c r="N27" i="20"/>
  <c r="M29" i="19"/>
  <c r="C36" i="19"/>
  <c r="D36" i="19"/>
  <c r="E36" i="19"/>
  <c r="F36" i="19"/>
  <c r="G36" i="19"/>
  <c r="H36" i="19"/>
  <c r="I36" i="19"/>
  <c r="J36" i="19"/>
  <c r="K36" i="19"/>
  <c r="L36" i="19"/>
  <c r="M36" i="19"/>
  <c r="C52" i="19"/>
  <c r="D52" i="19"/>
  <c r="E52" i="19"/>
  <c r="F52" i="19"/>
  <c r="G52" i="19"/>
  <c r="H52" i="19"/>
  <c r="I52" i="19"/>
  <c r="J52" i="19"/>
  <c r="K52" i="19"/>
  <c r="L52" i="19"/>
  <c r="M52" i="19"/>
  <c r="C56" i="19"/>
  <c r="D56" i="19"/>
  <c r="E56" i="19"/>
  <c r="F56" i="19"/>
  <c r="G56" i="19"/>
  <c r="H56" i="19"/>
  <c r="I56" i="19"/>
  <c r="J56" i="19"/>
  <c r="K56" i="19"/>
  <c r="L56" i="19"/>
  <c r="M56" i="19"/>
  <c r="C63" i="19"/>
  <c r="D63" i="19"/>
  <c r="E63" i="19"/>
  <c r="F63" i="19"/>
  <c r="G63" i="19"/>
  <c r="H63" i="19"/>
  <c r="I63" i="19"/>
  <c r="J63" i="19"/>
  <c r="K63" i="19"/>
  <c r="L63" i="19"/>
  <c r="M63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9" i="19"/>
  <c r="N28" i="18"/>
  <c r="N29" i="18"/>
  <c r="N30" i="18"/>
  <c r="N31" i="18"/>
  <c r="N32" i="18"/>
  <c r="N33" i="18"/>
  <c r="N34" i="18"/>
  <c r="N35" i="18"/>
  <c r="N36" i="18"/>
  <c r="M37" i="18"/>
  <c r="C104" i="18"/>
  <c r="D104" i="18"/>
  <c r="E104" i="18"/>
  <c r="F104" i="18"/>
  <c r="G104" i="18"/>
  <c r="H104" i="18"/>
  <c r="I104" i="18"/>
  <c r="J104" i="18"/>
  <c r="K104" i="18"/>
  <c r="L104" i="18"/>
  <c r="M104" i="18"/>
  <c r="C87" i="18"/>
  <c r="D87" i="18"/>
  <c r="E87" i="18"/>
  <c r="F87" i="18"/>
  <c r="G87" i="18"/>
  <c r="H87" i="18"/>
  <c r="I87" i="18"/>
  <c r="J87" i="18"/>
  <c r="K87" i="18"/>
  <c r="L87" i="18"/>
  <c r="M87" i="18"/>
  <c r="C80" i="18"/>
  <c r="D80" i="18"/>
  <c r="E80" i="18"/>
  <c r="F80" i="18"/>
  <c r="G80" i="18"/>
  <c r="H80" i="18"/>
  <c r="I80" i="18"/>
  <c r="J80" i="18"/>
  <c r="K80" i="18"/>
  <c r="L80" i="18"/>
  <c r="M80" i="18"/>
  <c r="C75" i="18"/>
  <c r="D75" i="18"/>
  <c r="E75" i="18"/>
  <c r="F75" i="18"/>
  <c r="G75" i="18"/>
  <c r="H75" i="18"/>
  <c r="I75" i="18"/>
  <c r="J75" i="18"/>
  <c r="K75" i="18"/>
  <c r="L75" i="18"/>
  <c r="M75" i="18"/>
  <c r="C44" i="18"/>
  <c r="D44" i="18"/>
  <c r="E44" i="18"/>
  <c r="F44" i="18"/>
  <c r="G44" i="18"/>
  <c r="H44" i="18"/>
  <c r="I44" i="18"/>
  <c r="J44" i="18"/>
  <c r="K44" i="18"/>
  <c r="L44" i="18"/>
  <c r="M44" i="18"/>
  <c r="N84" i="18"/>
  <c r="N85" i="18"/>
  <c r="N86" i="18"/>
  <c r="N77" i="18"/>
  <c r="N78" i="18"/>
  <c r="N79" i="18"/>
  <c r="N46" i="18"/>
  <c r="N47" i="18"/>
  <c r="N48" i="18"/>
  <c r="N49" i="18"/>
  <c r="N50" i="18"/>
  <c r="N58" i="18"/>
  <c r="N59" i="18"/>
  <c r="N60" i="18"/>
  <c r="N61" i="18"/>
  <c r="N62" i="18"/>
  <c r="N63" i="18"/>
  <c r="N64" i="18"/>
  <c r="N65" i="18"/>
  <c r="N66" i="18"/>
  <c r="N67" i="18"/>
  <c r="N68" i="18"/>
  <c r="N69" i="18"/>
  <c r="N70" i="18"/>
  <c r="N73" i="18"/>
  <c r="N74" i="18"/>
  <c r="N45" i="17"/>
  <c r="N46" i="17"/>
  <c r="N47" i="17"/>
  <c r="C83" i="17" l="1"/>
  <c r="D83" i="17"/>
  <c r="E83" i="17"/>
  <c r="F83" i="17"/>
  <c r="G83" i="17"/>
  <c r="H83" i="17"/>
  <c r="C53" i="17"/>
  <c r="D53" i="17"/>
  <c r="E53" i="17"/>
  <c r="F53" i="17"/>
  <c r="G53" i="17"/>
  <c r="H53" i="17"/>
  <c r="I53" i="17"/>
  <c r="J53" i="17"/>
  <c r="K53" i="17"/>
  <c r="L53" i="17"/>
  <c r="M53" i="17"/>
  <c r="C50" i="17"/>
  <c r="D50" i="17"/>
  <c r="E50" i="17"/>
  <c r="F50" i="17"/>
  <c r="G50" i="17"/>
  <c r="H50" i="17"/>
  <c r="I50" i="17"/>
  <c r="J50" i="17"/>
  <c r="K50" i="17"/>
  <c r="L50" i="17"/>
  <c r="M50" i="17"/>
  <c r="C37" i="17"/>
  <c r="D37" i="17"/>
  <c r="E37" i="17"/>
  <c r="F37" i="17"/>
  <c r="G37" i="17"/>
  <c r="H37" i="17"/>
  <c r="I37" i="17"/>
  <c r="J37" i="17"/>
  <c r="K37" i="17"/>
  <c r="L37" i="17"/>
  <c r="M37" i="17"/>
  <c r="C30" i="17"/>
  <c r="D30" i="17"/>
  <c r="E30" i="17"/>
  <c r="F30" i="17"/>
  <c r="G30" i="17"/>
  <c r="H30" i="17"/>
  <c r="B30" i="17"/>
  <c r="N39" i="17"/>
  <c r="N40" i="17"/>
  <c r="N41" i="17"/>
  <c r="N42" i="17"/>
  <c r="N43" i="17"/>
  <c r="N44" i="17"/>
  <c r="N48" i="17"/>
  <c r="N49" i="17"/>
  <c r="N103" i="18" l="1"/>
  <c r="B87" i="18"/>
  <c r="H28" i="20" l="1"/>
  <c r="I28" i="20"/>
  <c r="J28" i="20"/>
  <c r="K28" i="20"/>
  <c r="L28" i="20"/>
  <c r="M28" i="20"/>
  <c r="N47" i="19"/>
  <c r="N48" i="19"/>
  <c r="N49" i="19"/>
  <c r="N54" i="17"/>
  <c r="G28" i="20" l="1"/>
  <c r="N80" i="17" l="1"/>
  <c r="B53" i="17" l="1"/>
  <c r="N99" i="11"/>
  <c r="N39" i="19" l="1"/>
  <c r="N44" i="19"/>
  <c r="N45" i="19"/>
  <c r="N46" i="19"/>
  <c r="N50" i="19"/>
  <c r="N51" i="19"/>
  <c r="N7" i="16"/>
  <c r="C28" i="20" l="1"/>
  <c r="D28" i="20"/>
  <c r="E28" i="20"/>
  <c r="F28" i="20"/>
  <c r="B28" i="20"/>
  <c r="N13" i="20"/>
  <c r="N15" i="18"/>
  <c r="F16" i="16"/>
  <c r="N11" i="20" l="1"/>
  <c r="N8" i="20"/>
  <c r="B36" i="19"/>
  <c r="B44" i="18"/>
  <c r="N27" i="18"/>
  <c r="N37" i="18" s="1"/>
  <c r="N52" i="17" l="1"/>
  <c r="B50" i="17"/>
  <c r="N56" i="16"/>
  <c r="N67" i="11"/>
  <c r="N23" i="19" l="1"/>
  <c r="N22" i="19"/>
  <c r="N28" i="19" l="1"/>
  <c r="N14" i="19"/>
  <c r="N92" i="18"/>
  <c r="N14" i="18"/>
  <c r="N19" i="18"/>
  <c r="C109" i="11" l="1"/>
  <c r="C86" i="11"/>
  <c r="C70" i="11"/>
  <c r="C64" i="11"/>
  <c r="C42" i="11"/>
  <c r="C35" i="11"/>
  <c r="C19" i="11"/>
  <c r="C73" i="16"/>
  <c r="C59" i="16"/>
  <c r="C53" i="16"/>
  <c r="C36" i="16"/>
  <c r="C29" i="16"/>
  <c r="C16" i="16"/>
  <c r="C16" i="17"/>
  <c r="N41" i="16"/>
  <c r="N50" i="11"/>
  <c r="C87" i="17" l="1"/>
  <c r="C113" i="11"/>
  <c r="C92" i="16"/>
  <c r="N9" i="20"/>
  <c r="N61" i="19"/>
  <c r="C80" i="19" l="1"/>
  <c r="C58" i="20"/>
  <c r="C106" i="18"/>
  <c r="B56" i="20" l="1"/>
  <c r="B54" i="20"/>
  <c r="B52" i="20"/>
  <c r="B35" i="20"/>
  <c r="B104" i="18"/>
  <c r="B80" i="18"/>
  <c r="B75" i="18"/>
  <c r="B83" i="17"/>
  <c r="B37" i="17"/>
  <c r="B16" i="17"/>
  <c r="B73" i="16"/>
  <c r="B59" i="16"/>
  <c r="B53" i="16"/>
  <c r="B36" i="16"/>
  <c r="B29" i="16"/>
  <c r="B16" i="16"/>
  <c r="B109" i="11"/>
  <c r="B86" i="11"/>
  <c r="B70" i="11"/>
  <c r="B64" i="11"/>
  <c r="B42" i="11"/>
  <c r="B35" i="11"/>
  <c r="B19" i="11"/>
  <c r="B58" i="20" l="1"/>
  <c r="B106" i="18"/>
  <c r="B87" i="17"/>
  <c r="B92" i="16"/>
  <c r="B113" i="11"/>
  <c r="B80" i="19"/>
  <c r="N26" i="19" l="1"/>
  <c r="N57" i="20"/>
  <c r="N56" i="20" s="1"/>
  <c r="N55" i="20"/>
  <c r="N54" i="20" s="1"/>
  <c r="N53" i="20"/>
  <c r="N52" i="20" s="1"/>
  <c r="N36" i="20"/>
  <c r="N35" i="20" s="1"/>
  <c r="N22" i="20"/>
  <c r="N12" i="20"/>
  <c r="N10" i="20"/>
  <c r="N64" i="19"/>
  <c r="N63" i="19" s="1"/>
  <c r="N59" i="19"/>
  <c r="N57" i="19"/>
  <c r="N55" i="19"/>
  <c r="N54" i="19"/>
  <c r="N53" i="19"/>
  <c r="N38" i="19"/>
  <c r="N37" i="19"/>
  <c r="N27" i="19"/>
  <c r="N25" i="19"/>
  <c r="N24" i="19"/>
  <c r="N13" i="19"/>
  <c r="N12" i="19"/>
  <c r="N11" i="19"/>
  <c r="N10" i="19"/>
  <c r="N9" i="19"/>
  <c r="N8" i="19"/>
  <c r="N62" i="19"/>
  <c r="N60" i="19"/>
  <c r="N105" i="18"/>
  <c r="N104" i="18" s="1"/>
  <c r="N96" i="18"/>
  <c r="N94" i="18"/>
  <c r="N91" i="18"/>
  <c r="N90" i="18"/>
  <c r="N89" i="18"/>
  <c r="N88" i="18"/>
  <c r="N81" i="18"/>
  <c r="N80" i="18" s="1"/>
  <c r="N76" i="18"/>
  <c r="N75" i="18" s="1"/>
  <c r="N45" i="18"/>
  <c r="N44" i="18" s="1"/>
  <c r="N17" i="18"/>
  <c r="N16" i="18"/>
  <c r="N13" i="18"/>
  <c r="N12" i="18"/>
  <c r="N11" i="18"/>
  <c r="N10" i="18"/>
  <c r="N9" i="18"/>
  <c r="N8" i="18"/>
  <c r="N95" i="18"/>
  <c r="N93" i="18"/>
  <c r="N20" i="18" l="1"/>
  <c r="N15" i="20"/>
  <c r="N15" i="19"/>
  <c r="N29" i="19"/>
  <c r="N36" i="19"/>
  <c r="N56" i="19"/>
  <c r="N52" i="19"/>
  <c r="N87" i="18"/>
  <c r="N28" i="20"/>
  <c r="D80" i="19"/>
  <c r="L80" i="19"/>
  <c r="H80" i="19"/>
  <c r="J80" i="19"/>
  <c r="F80" i="19"/>
  <c r="F58" i="20"/>
  <c r="J58" i="20"/>
  <c r="I80" i="19"/>
  <c r="G80" i="19"/>
  <c r="K80" i="19"/>
  <c r="M80" i="19"/>
  <c r="E80" i="19"/>
  <c r="G58" i="20"/>
  <c r="K58" i="20"/>
  <c r="D58" i="20"/>
  <c r="H58" i="20"/>
  <c r="L58" i="20"/>
  <c r="E58" i="20"/>
  <c r="I58" i="20"/>
  <c r="M58" i="20"/>
  <c r="E106" i="18"/>
  <c r="I106" i="18"/>
  <c r="K106" i="18"/>
  <c r="D106" i="18"/>
  <c r="H106" i="18"/>
  <c r="L106" i="18"/>
  <c r="M106" i="18"/>
  <c r="F106" i="18"/>
  <c r="J106" i="18"/>
  <c r="G106" i="18"/>
  <c r="N86" i="17"/>
  <c r="N85" i="17"/>
  <c r="N78" i="17"/>
  <c r="N77" i="17"/>
  <c r="N76" i="17"/>
  <c r="N73" i="17"/>
  <c r="N72" i="17"/>
  <c r="N71" i="17"/>
  <c r="N66" i="17"/>
  <c r="N65" i="17"/>
  <c r="N64" i="17"/>
  <c r="N63" i="17"/>
  <c r="N62" i="17"/>
  <c r="N61" i="17"/>
  <c r="N60" i="17"/>
  <c r="N59" i="17"/>
  <c r="N58" i="17"/>
  <c r="N56" i="17"/>
  <c r="N29" i="17"/>
  <c r="N26" i="17"/>
  <c r="N25" i="17"/>
  <c r="N24" i="17"/>
  <c r="M83" i="17"/>
  <c r="L83" i="17"/>
  <c r="K83" i="17"/>
  <c r="J83" i="17"/>
  <c r="I83" i="17"/>
  <c r="N79" i="17"/>
  <c r="N74" i="17"/>
  <c r="N70" i="17"/>
  <c r="N15" i="17"/>
  <c r="N14" i="17"/>
  <c r="N13" i="17"/>
  <c r="N12" i="17"/>
  <c r="N11" i="17"/>
  <c r="N10" i="17"/>
  <c r="N9" i="17"/>
  <c r="N8" i="17"/>
  <c r="M30" i="17"/>
  <c r="L30" i="17"/>
  <c r="K30" i="17"/>
  <c r="J30" i="17"/>
  <c r="I30" i="17"/>
  <c r="M16" i="17"/>
  <c r="L16" i="17"/>
  <c r="K16" i="17"/>
  <c r="J16" i="17"/>
  <c r="I16" i="17"/>
  <c r="H16" i="17"/>
  <c r="G16" i="17"/>
  <c r="F16" i="17"/>
  <c r="E16" i="17"/>
  <c r="D16" i="17"/>
  <c r="N88" i="16"/>
  <c r="N84" i="16"/>
  <c r="N83" i="16"/>
  <c r="N81" i="16"/>
  <c r="N79" i="16"/>
  <c r="N78" i="16"/>
  <c r="N76" i="16"/>
  <c r="N75" i="16"/>
  <c r="N74" i="16"/>
  <c r="N71" i="16"/>
  <c r="N70" i="16"/>
  <c r="N69" i="16"/>
  <c r="N66" i="16"/>
  <c r="N65" i="16"/>
  <c r="N64" i="16"/>
  <c r="N62" i="16"/>
  <c r="N61" i="16"/>
  <c r="N60" i="16"/>
  <c r="N58" i="16"/>
  <c r="N57" i="16"/>
  <c r="N52" i="16"/>
  <c r="N50" i="16"/>
  <c r="N49" i="16"/>
  <c r="N47" i="16"/>
  <c r="N46" i="16"/>
  <c r="N45" i="16"/>
  <c r="N44" i="16"/>
  <c r="N43" i="16"/>
  <c r="N42" i="16"/>
  <c r="N40" i="16"/>
  <c r="N39" i="16"/>
  <c r="N38" i="16"/>
  <c r="N37" i="16"/>
  <c r="N28" i="16"/>
  <c r="N27" i="16"/>
  <c r="N26" i="16"/>
  <c r="N25" i="16"/>
  <c r="N24" i="16"/>
  <c r="N23" i="16"/>
  <c r="N15" i="16"/>
  <c r="N14" i="16"/>
  <c r="N13" i="16"/>
  <c r="N12" i="16"/>
  <c r="N11" i="16"/>
  <c r="N10" i="16"/>
  <c r="N9" i="16"/>
  <c r="N8" i="16"/>
  <c r="N91" i="16"/>
  <c r="N89" i="16"/>
  <c r="N87" i="16"/>
  <c r="N86" i="16"/>
  <c r="N85" i="16"/>
  <c r="N82" i="16"/>
  <c r="N80" i="16"/>
  <c r="N77" i="16"/>
  <c r="M73" i="16"/>
  <c r="L73" i="16"/>
  <c r="K73" i="16"/>
  <c r="J73" i="16"/>
  <c r="I73" i="16"/>
  <c r="H73" i="16"/>
  <c r="G73" i="16"/>
  <c r="F73" i="16"/>
  <c r="E73" i="16"/>
  <c r="D73" i="16"/>
  <c r="N72" i="16"/>
  <c r="N68" i="16"/>
  <c r="N67" i="16"/>
  <c r="N63" i="16"/>
  <c r="M59" i="16"/>
  <c r="L59" i="16"/>
  <c r="K59" i="16"/>
  <c r="J59" i="16"/>
  <c r="I59" i="16"/>
  <c r="H59" i="16"/>
  <c r="G59" i="16"/>
  <c r="F59" i="16"/>
  <c r="E59" i="16"/>
  <c r="D59" i="16"/>
  <c r="N55" i="16"/>
  <c r="M53" i="16"/>
  <c r="L53" i="16"/>
  <c r="K53" i="16"/>
  <c r="J53" i="16"/>
  <c r="I53" i="16"/>
  <c r="H53" i="16"/>
  <c r="G53" i="16"/>
  <c r="F53" i="16"/>
  <c r="E53" i="16"/>
  <c r="D53" i="16"/>
  <c r="N51" i="16"/>
  <c r="N48" i="16"/>
  <c r="M36" i="16"/>
  <c r="L36" i="16"/>
  <c r="K36" i="16"/>
  <c r="J36" i="16"/>
  <c r="I36" i="16"/>
  <c r="H36" i="16"/>
  <c r="G36" i="16"/>
  <c r="F36" i="16"/>
  <c r="E36" i="16"/>
  <c r="D36" i="16"/>
  <c r="M29" i="16"/>
  <c r="L29" i="16"/>
  <c r="J29" i="16"/>
  <c r="I29" i="16"/>
  <c r="H29" i="16"/>
  <c r="G29" i="16"/>
  <c r="F29" i="16"/>
  <c r="E29" i="16"/>
  <c r="D29" i="16"/>
  <c r="M16" i="16"/>
  <c r="L16" i="16"/>
  <c r="K16" i="16"/>
  <c r="J16" i="16"/>
  <c r="I16" i="16"/>
  <c r="H16" i="16"/>
  <c r="G16" i="16"/>
  <c r="E16" i="16"/>
  <c r="D16" i="16"/>
  <c r="M109" i="11"/>
  <c r="L109" i="11"/>
  <c r="K109" i="11"/>
  <c r="J109" i="11"/>
  <c r="I109" i="11"/>
  <c r="H109" i="11"/>
  <c r="G109" i="11"/>
  <c r="F109" i="11"/>
  <c r="E109" i="11"/>
  <c r="D109" i="11"/>
  <c r="M86" i="11"/>
  <c r="L86" i="11"/>
  <c r="K86" i="11"/>
  <c r="J86" i="11"/>
  <c r="I86" i="11"/>
  <c r="H86" i="11"/>
  <c r="G86" i="11"/>
  <c r="F86" i="11"/>
  <c r="E86" i="11"/>
  <c r="D86" i="11"/>
  <c r="M70" i="11"/>
  <c r="L70" i="11"/>
  <c r="K70" i="11"/>
  <c r="J70" i="11"/>
  <c r="I70" i="11"/>
  <c r="H70" i="11"/>
  <c r="G70" i="11"/>
  <c r="F70" i="11"/>
  <c r="E70" i="11"/>
  <c r="D70" i="11"/>
  <c r="M64" i="11"/>
  <c r="L64" i="11"/>
  <c r="K64" i="11"/>
  <c r="J64" i="11"/>
  <c r="I64" i="11"/>
  <c r="H64" i="11"/>
  <c r="G64" i="11"/>
  <c r="F64" i="11"/>
  <c r="E64" i="11"/>
  <c r="D64" i="11"/>
  <c r="M42" i="11"/>
  <c r="L42" i="11"/>
  <c r="K42" i="11"/>
  <c r="J42" i="11"/>
  <c r="I42" i="11"/>
  <c r="H42" i="11"/>
  <c r="G42" i="11"/>
  <c r="F42" i="11"/>
  <c r="E42" i="11"/>
  <c r="D42" i="11"/>
  <c r="M35" i="11"/>
  <c r="L35" i="11"/>
  <c r="K35" i="11"/>
  <c r="J35" i="11"/>
  <c r="I35" i="11"/>
  <c r="H35" i="11"/>
  <c r="G35" i="11"/>
  <c r="F35" i="11"/>
  <c r="E35" i="11"/>
  <c r="D35" i="11"/>
  <c r="M19" i="11"/>
  <c r="L19" i="11"/>
  <c r="K19" i="11"/>
  <c r="J19" i="11"/>
  <c r="I19" i="11"/>
  <c r="H19" i="11"/>
  <c r="G19" i="11"/>
  <c r="F19" i="11"/>
  <c r="E19" i="11"/>
  <c r="D19" i="11"/>
  <c r="N16" i="11"/>
  <c r="N16" i="16" l="1"/>
  <c r="N80" i="19"/>
  <c r="N58" i="20"/>
  <c r="N106" i="18"/>
  <c r="E113" i="11"/>
  <c r="I113" i="11"/>
  <c r="M113" i="11"/>
  <c r="E92" i="16"/>
  <c r="I92" i="16"/>
  <c r="M92" i="16"/>
  <c r="F113" i="11"/>
  <c r="J113" i="11"/>
  <c r="G113" i="11"/>
  <c r="K113" i="11"/>
  <c r="D113" i="11"/>
  <c r="H113" i="11"/>
  <c r="L113" i="11"/>
  <c r="F92" i="16"/>
  <c r="J92" i="16"/>
  <c r="K92" i="16"/>
  <c r="G92" i="16"/>
  <c r="D92" i="16"/>
  <c r="H92" i="16"/>
  <c r="L92" i="16"/>
  <c r="N23" i="17"/>
  <c r="N30" i="17" s="1"/>
  <c r="N84" i="17"/>
  <c r="N83" i="17" s="1"/>
  <c r="N68" i="17"/>
  <c r="N67" i="17" s="1"/>
  <c r="N38" i="17"/>
  <c r="N37" i="17" s="1"/>
  <c r="D87" i="17"/>
  <c r="H87" i="17"/>
  <c r="L87" i="17"/>
  <c r="F87" i="17"/>
  <c r="J87" i="17"/>
  <c r="N57" i="17"/>
  <c r="E87" i="17"/>
  <c r="I87" i="17"/>
  <c r="M87" i="17"/>
  <c r="N55" i="17"/>
  <c r="G87" i="17"/>
  <c r="K87" i="17"/>
  <c r="N51" i="17"/>
  <c r="N50" i="17" s="1"/>
  <c r="N7" i="17"/>
  <c r="N16" i="17" s="1"/>
  <c r="N59" i="16"/>
  <c r="N36" i="16"/>
  <c r="N29" i="16"/>
  <c r="N54" i="16"/>
  <c r="N53" i="16" s="1"/>
  <c r="N73" i="16"/>
  <c r="N53" i="17" l="1"/>
  <c r="N87" i="17" s="1"/>
  <c r="N92" i="16"/>
  <c r="N79" i="11" l="1"/>
  <c r="N111" i="11"/>
  <c r="N112" i="11"/>
  <c r="N108" i="11"/>
  <c r="N106" i="11"/>
  <c r="N105" i="11"/>
  <c r="N104" i="11"/>
  <c r="N103" i="11"/>
  <c r="N102" i="11"/>
  <c r="N101" i="11"/>
  <c r="N100" i="11"/>
  <c r="N98" i="11"/>
  <c r="N97" i="11"/>
  <c r="N96" i="11"/>
  <c r="N95" i="11"/>
  <c r="N94" i="11"/>
  <c r="N92" i="11"/>
  <c r="N91" i="11"/>
  <c r="N90" i="11"/>
  <c r="N89" i="11"/>
  <c r="N88" i="11"/>
  <c r="N87" i="11"/>
  <c r="N83" i="11"/>
  <c r="N84" i="11"/>
  <c r="N82" i="11"/>
  <c r="N76" i="11"/>
  <c r="N78" i="11"/>
  <c r="N72" i="11"/>
  <c r="N80" i="11"/>
  <c r="N81" i="11"/>
  <c r="N85" i="11"/>
  <c r="N75" i="11"/>
  <c r="N73" i="11"/>
  <c r="N77" i="11"/>
  <c r="N74" i="11"/>
  <c r="N68" i="11"/>
  <c r="N66" i="11"/>
  <c r="N69" i="11"/>
  <c r="N63" i="11"/>
  <c r="N62" i="11"/>
  <c r="N61" i="11"/>
  <c r="N60" i="11"/>
  <c r="N59" i="11"/>
  <c r="N58" i="11"/>
  <c r="N57" i="11"/>
  <c r="N56" i="11"/>
  <c r="N55" i="11"/>
  <c r="N54" i="11"/>
  <c r="N53" i="11"/>
  <c r="N52" i="11"/>
  <c r="N51" i="11"/>
  <c r="N49" i="11"/>
  <c r="N48" i="11"/>
  <c r="N47" i="11"/>
  <c r="N46" i="11"/>
  <c r="N45" i="11"/>
  <c r="N44" i="11"/>
  <c r="N34" i="11"/>
  <c r="N33" i="11"/>
  <c r="N32" i="11"/>
  <c r="N31" i="11"/>
  <c r="N30" i="11"/>
  <c r="N29" i="11"/>
  <c r="N28" i="11"/>
  <c r="N27" i="11"/>
  <c r="N18" i="11"/>
  <c r="N17" i="11"/>
  <c r="N15" i="11"/>
  <c r="N14" i="11"/>
  <c r="N13" i="11"/>
  <c r="N12" i="11"/>
  <c r="N11" i="11"/>
  <c r="N10" i="11"/>
  <c r="N9" i="11"/>
  <c r="N8" i="11"/>
  <c r="N65" i="11" l="1"/>
  <c r="N64" i="11" s="1"/>
  <c r="N43" i="11"/>
  <c r="N42" i="11" s="1"/>
  <c r="N110" i="11"/>
  <c r="N109" i="11" s="1"/>
  <c r="N71" i="11"/>
  <c r="N70" i="11" s="1"/>
  <c r="N86" i="11"/>
  <c r="N26" i="11"/>
  <c r="N35" i="11" s="1"/>
  <c r="N113" i="11" l="1"/>
  <c r="N7" i="11" l="1"/>
  <c r="N19" i="11" s="1"/>
</calcChain>
</file>

<file path=xl/sharedStrings.xml><?xml version="1.0" encoding="utf-8"?>
<sst xmlns="http://schemas.openxmlformats.org/spreadsheetml/2006/main" count="6859" uniqueCount="205">
  <si>
    <t>T     o     t     a     l</t>
  </si>
  <si>
    <t>Aeroméxico Connect (Aerolitoral)</t>
  </si>
  <si>
    <t>Aeroméxico (Aerovías de México)</t>
  </si>
  <si>
    <t>Interjet (ABC Aerolíneas)</t>
  </si>
  <si>
    <t>Aeromar</t>
  </si>
  <si>
    <t>Vivaaerobus (Aeroenlaces)</t>
  </si>
  <si>
    <t>Magnicharters (Grupo Aéreo Monterrey)</t>
  </si>
  <si>
    <t>Continental Express (Express Jet)</t>
  </si>
  <si>
    <t>American Airlines</t>
  </si>
  <si>
    <t>Delta Airlines</t>
  </si>
  <si>
    <t>Alaska Airlines</t>
  </si>
  <si>
    <t>American Eagle</t>
  </si>
  <si>
    <t>Air Canada</t>
  </si>
  <si>
    <t>Frontier</t>
  </si>
  <si>
    <t>FEDEX (Federal Express)</t>
  </si>
  <si>
    <t>UPS (United Parcel Service)</t>
  </si>
  <si>
    <t>Spirit Airlines</t>
  </si>
  <si>
    <t>Amerijet International</t>
  </si>
  <si>
    <t>Cargolux Airlines</t>
  </si>
  <si>
    <t>Lanperu</t>
  </si>
  <si>
    <t>British Airways</t>
  </si>
  <si>
    <t>Tui Nederland</t>
  </si>
  <si>
    <t>Tui Belgium</t>
  </si>
  <si>
    <t>Aeroservicios de La Costa</t>
  </si>
  <si>
    <t>Gulf &amp; Caribbean Cargo</t>
  </si>
  <si>
    <t>U.S.A. Jet Airlines</t>
  </si>
  <si>
    <t>Pullmantur</t>
  </si>
  <si>
    <t>Aeronaves TSM</t>
  </si>
  <si>
    <t>Estafeta (Carga Aérea)</t>
  </si>
  <si>
    <t>Mas Air (Más de Carga)</t>
  </si>
  <si>
    <t>US Air (U.S. Airways)</t>
  </si>
  <si>
    <t>Copa (Compañía Panameña de Aviación)</t>
  </si>
  <si>
    <t>Lacsa (Líneas Aéreas Costarricences)</t>
  </si>
  <si>
    <t>Cubana (Cubana de Aviación)</t>
  </si>
  <si>
    <t>Avianca (Aerovías del Continente Americano)</t>
  </si>
  <si>
    <t>K L M (Royal Dutch Airlines)</t>
  </si>
  <si>
    <t>Taca (Taca International Airlines)</t>
  </si>
  <si>
    <t>West Jet (Westjet Airlines Ltd)</t>
  </si>
  <si>
    <t>MN Airlines</t>
  </si>
  <si>
    <t>Air Europa (Air España)</t>
  </si>
  <si>
    <t>Tampa (Tampa Cargo)</t>
  </si>
  <si>
    <t>XL Airways (XL Airways France)</t>
  </si>
  <si>
    <t>Aerolíneas Damojh (Global Air )</t>
  </si>
  <si>
    <t>Thomson Airways (Thomson Airways Ltd) Ltd</t>
  </si>
  <si>
    <t>Thomas Cook (Thomas Cook Ltd)</t>
  </si>
  <si>
    <t>Canjet (Imp Group Limited/Canjet Airlines)</t>
  </si>
  <si>
    <t>Miami Air  (Miami Air International Inc)</t>
  </si>
  <si>
    <t>Kalitta (Kalitta Charters II)</t>
  </si>
  <si>
    <t>Neos air (Neos S.P.A.)</t>
  </si>
  <si>
    <t>Scandinavia (Thomas Cook Airlines Scandinavia )</t>
  </si>
  <si>
    <t>Volaris (Concesionaria Vuela Cia de Aviación)</t>
  </si>
  <si>
    <t>Taca Peru (Trans American Airlines)</t>
  </si>
  <si>
    <t>Atlas Air</t>
  </si>
  <si>
    <r>
      <t xml:space="preserve">VUELOS / </t>
    </r>
    <r>
      <rPr>
        <b/>
        <i/>
        <sz val="10"/>
        <rFont val="Arial"/>
        <family val="2"/>
      </rPr>
      <t>FLIGHTS</t>
    </r>
  </si>
  <si>
    <r>
      <t xml:space="preserve">Total Europeas / </t>
    </r>
    <r>
      <rPr>
        <b/>
        <i/>
        <sz val="10"/>
        <rFont val="Arial"/>
        <family val="2"/>
      </rPr>
      <t>European Total</t>
    </r>
  </si>
  <si>
    <r>
      <t xml:space="preserve">Total Canadienses / </t>
    </r>
    <r>
      <rPr>
        <b/>
        <i/>
        <sz val="10"/>
        <rFont val="Arial"/>
        <family val="2"/>
      </rPr>
      <t>Canadian Total</t>
    </r>
  </si>
  <si>
    <t>Blue Panorama</t>
  </si>
  <si>
    <t>Aerounión (Aerotransportes de Carga Union)</t>
  </si>
  <si>
    <t>Jet Blue Air (Jet Blue Airways Corporation)</t>
  </si>
  <si>
    <t>Mesa Airlines (Mesa Airlines, Inc.)</t>
  </si>
  <si>
    <t>Horizont Air (Horizont Air Industries)</t>
  </si>
  <si>
    <t>Abx (Abx Air)</t>
  </si>
  <si>
    <t>Lan Chile Airlines (Línea Aérea Nacional de Chile)</t>
  </si>
  <si>
    <t>DHL de Guatemala (DHL de Guatemala)</t>
  </si>
  <si>
    <t>Iberia (Iberia Líneas Aéreas de España)</t>
  </si>
  <si>
    <t>Air France (Société Air France)</t>
  </si>
  <si>
    <t>Lufthansa (Deutsche Lufthansa AG)</t>
  </si>
  <si>
    <t>Air Berlín</t>
  </si>
  <si>
    <t>Air Transat (Transat A. T.)</t>
  </si>
  <si>
    <t>Sunwing (Sunwing Airlines)</t>
  </si>
  <si>
    <t>Transaero Airlines</t>
  </si>
  <si>
    <t>Tuifly Nordic</t>
  </si>
  <si>
    <t>TRAVEL SERVICE</t>
  </si>
  <si>
    <t>Virgin America, Inc</t>
  </si>
  <si>
    <t>VRG Linhas Aereas, S.A.</t>
  </si>
  <si>
    <t>AMERISTAR AIR CARGO</t>
  </si>
  <si>
    <t>Aerorepública</t>
  </si>
  <si>
    <t>Cargojet Airways LTD</t>
  </si>
  <si>
    <t>Falcon Air Express</t>
  </si>
  <si>
    <t>TAM Linhas Aereas</t>
  </si>
  <si>
    <t>TEM ENTERPRISES</t>
  </si>
  <si>
    <t>Virgin Atlantic Airways, Limited</t>
  </si>
  <si>
    <r>
      <t xml:space="preserve">E m p r e s a / </t>
    </r>
    <r>
      <rPr>
        <b/>
        <i/>
        <sz val="10"/>
        <color theme="0"/>
        <rFont val="Arial"/>
        <family val="2"/>
      </rPr>
      <t>Air Carrier</t>
    </r>
  </si>
  <si>
    <r>
      <t>Ene/</t>
    </r>
    <r>
      <rPr>
        <b/>
        <i/>
        <sz val="10"/>
        <color theme="0"/>
        <rFont val="Arial"/>
        <family val="2"/>
      </rPr>
      <t>Jan</t>
    </r>
  </si>
  <si>
    <r>
      <t>Feb/</t>
    </r>
    <r>
      <rPr>
        <b/>
        <i/>
        <sz val="10"/>
        <color theme="0"/>
        <rFont val="Arial"/>
        <family val="2"/>
      </rPr>
      <t>Feb</t>
    </r>
  </si>
  <si>
    <r>
      <t>Abr/</t>
    </r>
    <r>
      <rPr>
        <b/>
        <i/>
        <sz val="10"/>
        <color theme="0"/>
        <rFont val="Arial"/>
        <family val="2"/>
      </rPr>
      <t>Apr</t>
    </r>
  </si>
  <si>
    <r>
      <t>May/</t>
    </r>
    <r>
      <rPr>
        <b/>
        <i/>
        <sz val="10"/>
        <color theme="0"/>
        <rFont val="Arial"/>
        <family val="2"/>
      </rPr>
      <t>May</t>
    </r>
  </si>
  <si>
    <r>
      <t>Jun/</t>
    </r>
    <r>
      <rPr>
        <b/>
        <i/>
        <sz val="10"/>
        <color theme="0"/>
        <rFont val="Arial"/>
        <family val="2"/>
      </rPr>
      <t>Jun</t>
    </r>
  </si>
  <si>
    <t>Skywest Airlines</t>
  </si>
  <si>
    <t>Tropic Air Limited</t>
  </si>
  <si>
    <t>United Airlines, Inc.</t>
  </si>
  <si>
    <t>SATA International  Servicios de Transportes Aereos, s.a.</t>
  </si>
  <si>
    <t>Key Air LLC.</t>
  </si>
  <si>
    <t>CENTURION</t>
  </si>
  <si>
    <t>Aerolineas Argentinas</t>
  </si>
  <si>
    <t>Cargolux Italia S. P. A.</t>
  </si>
  <si>
    <t>NORDWIND</t>
  </si>
  <si>
    <t>TUIFLY GMBH</t>
  </si>
  <si>
    <t>POLKIE LINIE LOTNINICZE</t>
  </si>
  <si>
    <t>Lufthansa Cargo AG</t>
  </si>
  <si>
    <t>Total Asiaticas / Asian Total</t>
  </si>
  <si>
    <t>NOVA AIRLINES</t>
  </si>
  <si>
    <t>Cathay Pacific Airways Limited</t>
  </si>
  <si>
    <t>Transportes Aéreos Regionales (TAR)</t>
  </si>
  <si>
    <t>Kalitta Air</t>
  </si>
  <si>
    <t>A-Liner-8 Aviation, Inc.</t>
  </si>
  <si>
    <t>Evelop Airlines</t>
  </si>
  <si>
    <t>ULTIMATE JET CHARTER</t>
  </si>
  <si>
    <t>Aéreo Calafia</t>
  </si>
  <si>
    <t>Southwest Airlines</t>
  </si>
  <si>
    <t xml:space="preserve">Qatar Airlines </t>
  </si>
  <si>
    <t>Emirates Arabes</t>
  </si>
  <si>
    <t>Lan Colombia</t>
  </si>
  <si>
    <t>SWIFT AIR</t>
  </si>
  <si>
    <t>Alitalia</t>
  </si>
  <si>
    <t>Flugleidir hf. d/b/a Icelandair</t>
  </si>
  <si>
    <r>
      <t xml:space="preserve">ESTADÍSTICA POR EMPRESA / </t>
    </r>
    <r>
      <rPr>
        <b/>
        <i/>
        <sz val="12"/>
        <rFont val="Arial"/>
        <family val="2"/>
      </rPr>
      <t>AIR CARRIER STATISTICS</t>
    </r>
  </si>
  <si>
    <r>
      <t xml:space="preserve">EN SERVICIO REGULAR NACIONAL / </t>
    </r>
    <r>
      <rPr>
        <b/>
        <i/>
        <sz val="10"/>
        <rFont val="Arial"/>
        <family val="2"/>
      </rPr>
      <t>SCHEDULED DOMESTIC SERVICE</t>
    </r>
  </si>
  <si>
    <r>
      <t>Mar/</t>
    </r>
    <r>
      <rPr>
        <b/>
        <i/>
        <sz val="10"/>
        <color theme="0"/>
        <rFont val="Arial"/>
        <family val="2"/>
      </rPr>
      <t>Mar</t>
    </r>
  </si>
  <si>
    <r>
      <t>Jul/</t>
    </r>
    <r>
      <rPr>
        <b/>
        <i/>
        <sz val="10"/>
        <color theme="0"/>
        <rFont val="Arial"/>
        <family val="2"/>
      </rPr>
      <t>Jul</t>
    </r>
  </si>
  <si>
    <r>
      <t>Ago/</t>
    </r>
    <r>
      <rPr>
        <b/>
        <i/>
        <sz val="10"/>
        <color theme="0"/>
        <rFont val="Arial"/>
        <family val="2"/>
      </rPr>
      <t>Aug</t>
    </r>
  </si>
  <si>
    <r>
      <t>Sep/</t>
    </r>
    <r>
      <rPr>
        <b/>
        <i/>
        <sz val="10"/>
        <color theme="0"/>
        <rFont val="Arial"/>
        <family val="2"/>
      </rPr>
      <t>Sep</t>
    </r>
  </si>
  <si>
    <r>
      <t>Oct/</t>
    </r>
    <r>
      <rPr>
        <b/>
        <i/>
        <sz val="10"/>
        <color theme="0"/>
        <rFont val="Arial"/>
        <family val="2"/>
      </rPr>
      <t>Oct</t>
    </r>
  </si>
  <si>
    <r>
      <t>Nov/</t>
    </r>
    <r>
      <rPr>
        <b/>
        <i/>
        <sz val="10"/>
        <color theme="0"/>
        <rFont val="Arial"/>
        <family val="2"/>
      </rPr>
      <t>Nov</t>
    </r>
  </si>
  <si>
    <r>
      <t>Dic/</t>
    </r>
    <r>
      <rPr>
        <b/>
        <i/>
        <sz val="10"/>
        <color theme="0"/>
        <rFont val="Arial"/>
        <family val="2"/>
      </rPr>
      <t>Dec</t>
    </r>
  </si>
  <si>
    <r>
      <t>Total/</t>
    </r>
    <r>
      <rPr>
        <b/>
        <i/>
        <sz val="10"/>
        <color theme="0"/>
        <rFont val="Arial"/>
        <family val="2"/>
      </rPr>
      <t>Total</t>
    </r>
  </si>
  <si>
    <r>
      <t>EN SERVICIO REGULAR INTERNACIONAL /</t>
    </r>
    <r>
      <rPr>
        <b/>
        <i/>
        <sz val="10"/>
        <rFont val="Arial"/>
        <family val="2"/>
      </rPr>
      <t xml:space="preserve"> SCHEDULED INTERNATIONAL SERVICE</t>
    </r>
  </si>
  <si>
    <r>
      <t xml:space="preserve">Total Estadounidenses / </t>
    </r>
    <r>
      <rPr>
        <b/>
        <i/>
        <sz val="10"/>
        <rFont val="Arial"/>
        <family val="2"/>
      </rPr>
      <t>American Total</t>
    </r>
  </si>
  <si>
    <r>
      <t>Total Centro y Sudamericanas /</t>
    </r>
    <r>
      <rPr>
        <b/>
        <i/>
        <sz val="10"/>
        <rFont val="Arial"/>
        <family val="2"/>
      </rPr>
      <t xml:space="preserve"> Central and Latinamerican Total</t>
    </r>
  </si>
  <si>
    <r>
      <t xml:space="preserve">CARGA TRANSPORTADA / </t>
    </r>
    <r>
      <rPr>
        <b/>
        <i/>
        <sz val="10"/>
        <rFont val="Arial"/>
        <family val="2"/>
      </rPr>
      <t>CARGO FREIGHT</t>
    </r>
  </si>
  <si>
    <r>
      <t>Carga en kg /</t>
    </r>
    <r>
      <rPr>
        <b/>
        <i/>
        <sz val="10"/>
        <rFont val="Arial"/>
        <family val="2"/>
      </rPr>
      <t xml:space="preserve"> Load in kg</t>
    </r>
  </si>
  <si>
    <r>
      <t xml:space="preserve">EMPRESAS EXTRANJERAS / </t>
    </r>
    <r>
      <rPr>
        <b/>
        <i/>
        <sz val="10"/>
        <rFont val="Arial"/>
        <family val="2"/>
      </rPr>
      <t>FOREIGN AIR CARRIERS</t>
    </r>
  </si>
  <si>
    <r>
      <t xml:space="preserve">EMPRESAS NACIONALES / </t>
    </r>
    <r>
      <rPr>
        <b/>
        <i/>
        <sz val="10"/>
        <rFont val="Arial"/>
        <family val="2"/>
      </rPr>
      <t>DOMESTIC AIR CARRIERS</t>
    </r>
  </si>
  <si>
    <r>
      <t xml:space="preserve">EMPRESAS NACIONALES / </t>
    </r>
    <r>
      <rPr>
        <b/>
        <i/>
        <sz val="11"/>
        <rFont val="Arial"/>
        <family val="2"/>
      </rPr>
      <t>DOMESTIC AIR CARRIERS</t>
    </r>
  </si>
  <si>
    <r>
      <t xml:space="preserve">EN SERVICIO DE FLETAMENTO NACIONAL / </t>
    </r>
    <r>
      <rPr>
        <b/>
        <i/>
        <sz val="10"/>
        <rFont val="Arial"/>
        <family val="2"/>
      </rPr>
      <t>NON SCHEDULED DOMESTIC SERVICE</t>
    </r>
  </si>
  <si>
    <r>
      <t xml:space="preserve">EN SERVICIO DE FLETAMENTO INTERNACIONAL / </t>
    </r>
    <r>
      <rPr>
        <b/>
        <i/>
        <sz val="10"/>
        <rFont val="Arial"/>
        <family val="2"/>
      </rPr>
      <t>NON SCHEDULED INTERNATIONAL SERVICE</t>
    </r>
  </si>
  <si>
    <t>Korean Air</t>
  </si>
  <si>
    <t>TRÁFICO DE PASAJEROS / PASSENGER TRAFFIC</t>
  </si>
  <si>
    <r>
      <t xml:space="preserve">EN SERVICIO REGULAR NACIONAL E INTERNACIONAL / </t>
    </r>
    <r>
      <rPr>
        <b/>
        <i/>
        <sz val="10"/>
        <rFont val="Arial"/>
        <family val="2"/>
      </rPr>
      <t>SCHEDULED DOMESTIC AND INTERNATIONAL SERVICE</t>
    </r>
  </si>
  <si>
    <r>
      <t xml:space="preserve">EMPRESAS NACIONALES Y EXTRANJERAS / </t>
    </r>
    <r>
      <rPr>
        <b/>
        <i/>
        <sz val="11"/>
        <rFont val="Arial"/>
        <family val="2"/>
      </rPr>
      <t>DOMESTIC AND FOREIGN AIR CARRIERS</t>
    </r>
  </si>
  <si>
    <r>
      <t xml:space="preserve">Clasificación por región / </t>
    </r>
    <r>
      <rPr>
        <b/>
        <i/>
        <sz val="10"/>
        <color theme="0"/>
        <rFont val="Arial"/>
        <family val="2"/>
      </rPr>
      <t>Zone</t>
    </r>
  </si>
  <si>
    <r>
      <t xml:space="preserve">Tipo se servicio / </t>
    </r>
    <r>
      <rPr>
        <b/>
        <i/>
        <sz val="10"/>
        <color theme="0"/>
        <rFont val="Arial"/>
        <family val="2"/>
      </rPr>
      <t>Service</t>
    </r>
  </si>
  <si>
    <r>
      <t xml:space="preserve">Horas Voladas / </t>
    </r>
    <r>
      <rPr>
        <b/>
        <i/>
        <sz val="10"/>
        <color theme="0"/>
        <rFont val="Arial"/>
        <family val="2"/>
      </rPr>
      <t>Total Flight Time</t>
    </r>
  </si>
  <si>
    <r>
      <t xml:space="preserve">Correo (kg) / </t>
    </r>
    <r>
      <rPr>
        <b/>
        <i/>
        <sz val="10"/>
        <color theme="0"/>
        <rFont val="Arial"/>
        <family val="2"/>
      </rPr>
      <t>Mail (kg)</t>
    </r>
  </si>
  <si>
    <r>
      <t xml:space="preserve">HORAS TOTALES, CORREO Y EQUIPAJE  / </t>
    </r>
    <r>
      <rPr>
        <b/>
        <i/>
        <sz val="10"/>
        <rFont val="Arial"/>
        <family val="2"/>
      </rPr>
      <t>TOTAL FLIGHT TIME, MAIL AND BAGGAGE</t>
    </r>
  </si>
  <si>
    <r>
      <t xml:space="preserve">Equipaje (kg) / </t>
    </r>
    <r>
      <rPr>
        <b/>
        <i/>
        <sz val="10"/>
        <color theme="0"/>
        <rFont val="Arial"/>
        <family val="2"/>
      </rPr>
      <t>Baggage (kg)</t>
    </r>
  </si>
  <si>
    <r>
      <t xml:space="preserve">Distancia Recorrida (km) / </t>
    </r>
    <r>
      <rPr>
        <b/>
        <i/>
        <sz val="10"/>
        <color theme="0"/>
        <rFont val="Arial"/>
        <family val="2"/>
      </rPr>
      <t>Total distance (km)</t>
    </r>
  </si>
  <si>
    <t>AEROLINEAS ARGENTINAS</t>
  </si>
  <si>
    <t>CATHAY PACIFIC AIRWAYS LIMITED</t>
  </si>
  <si>
    <t>Mexicanas</t>
  </si>
  <si>
    <t>Estadounidenses</t>
  </si>
  <si>
    <t>Canadienses</t>
  </si>
  <si>
    <t>Centro y Sudamericanas</t>
  </si>
  <si>
    <t>Europeas</t>
  </si>
  <si>
    <t>Asiaticas</t>
  </si>
  <si>
    <t>Regular Nacional</t>
  </si>
  <si>
    <t>Regular Internacional</t>
  </si>
  <si>
    <t>Enero</t>
  </si>
  <si>
    <r>
      <t xml:space="preserve">EN SERVICIO DE FLETAMENTO NACIONAL E INTERNACIONAL / </t>
    </r>
    <r>
      <rPr>
        <b/>
        <i/>
        <sz val="10"/>
        <rFont val="Arial"/>
        <family val="2"/>
      </rPr>
      <t>NON SCHEDULED DOMESTIC AND INTERNATIONAL SERVICE</t>
    </r>
  </si>
  <si>
    <t>FALCON AIR EXPRESS</t>
  </si>
  <si>
    <t>KOREAN AIR</t>
  </si>
  <si>
    <t>Fletamento Nacional</t>
  </si>
  <si>
    <t>Fletamento Internacional</t>
  </si>
  <si>
    <t>C&amp;M AIRWAYS</t>
  </si>
  <si>
    <t>Northern Air Cargo Inc.</t>
  </si>
  <si>
    <t>Sky Lease I, Inc</t>
  </si>
  <si>
    <t>Febrero</t>
  </si>
  <si>
    <r>
      <t xml:space="preserve">Exceso de Equipaje (kg) / </t>
    </r>
    <r>
      <rPr>
        <b/>
        <i/>
        <sz val="10"/>
        <color theme="0"/>
        <rFont val="Arial"/>
        <family val="2"/>
      </rPr>
      <t>Excess baggage (kg)</t>
    </r>
  </si>
  <si>
    <r>
      <t xml:space="preserve">Mes / </t>
    </r>
    <r>
      <rPr>
        <b/>
        <i/>
        <sz val="10"/>
        <color theme="0"/>
        <rFont val="Arial"/>
        <family val="2"/>
      </rPr>
      <t>Month</t>
    </r>
  </si>
  <si>
    <t>Envoy Air, Inc (American Eagle)</t>
  </si>
  <si>
    <t>TRANSPORTES AEREOS REGIONALES (TAR)</t>
  </si>
  <si>
    <t>CATHAY PACIFIC AIRWASY LIMITED</t>
  </si>
  <si>
    <t>Envoy Air, Inc</t>
  </si>
  <si>
    <t>Marzo</t>
  </si>
  <si>
    <t>Volaris (Vuela)</t>
  </si>
  <si>
    <t>Florida West</t>
  </si>
  <si>
    <t>Thomson Fly Limited</t>
  </si>
  <si>
    <t>Orbest</t>
  </si>
  <si>
    <t>THOMSON FLY LIMITED</t>
  </si>
  <si>
    <t>Jazz  Air  LP</t>
  </si>
  <si>
    <t>Abril</t>
  </si>
  <si>
    <t>United Airlines</t>
  </si>
  <si>
    <t>Aerounión</t>
  </si>
  <si>
    <t>A- Liner- 8 Aviation, Inc.</t>
  </si>
  <si>
    <t>Air Transat</t>
  </si>
  <si>
    <t>Sunwing (Sunwing Airlines Inc)</t>
  </si>
  <si>
    <t>Mayo</t>
  </si>
  <si>
    <t>ORANGE AIR LLC</t>
  </si>
  <si>
    <t>Martin Air (Martin Air Holland N.V)</t>
  </si>
  <si>
    <t>Junio</t>
  </si>
  <si>
    <t>Thomas Cook</t>
  </si>
  <si>
    <t>Julio</t>
  </si>
  <si>
    <t>National Air Cargo Group. Inc.(National Airlines)</t>
  </si>
  <si>
    <t>White Airways</t>
  </si>
  <si>
    <t>MCS Aerocarga de México, S.A DE C.V.</t>
  </si>
  <si>
    <t>Agosto</t>
  </si>
  <si>
    <t>A Liner 8. Aviation Inc.</t>
  </si>
  <si>
    <t>Septiembre</t>
  </si>
  <si>
    <t>Wamos Air, S.A.</t>
  </si>
  <si>
    <t>Octubre</t>
  </si>
  <si>
    <t>Noviembre</t>
  </si>
  <si>
    <t>Wamos Air</t>
  </si>
  <si>
    <t>TATONDUK OUTFITTERS LIMITED DBA EVERTS AIR CARGO</t>
  </si>
  <si>
    <t>Aerolíneas Argentinas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</si>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</sst>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_-;\-* #,##0_-;_-* &quot;-&quot;??_-;_-@_-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17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color indexed="52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20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sz val="10"/>
      <color indexed="10"/>
      <name val="Arial"/>
      <family val="2"/>
    </font>
    <font>
      <i/>
      <sz val="10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0"/>
      <color indexed="8"/>
      <name val="Arial"/>
      <family val="2"/>
    </font>
    <font>
      <b/>
      <sz val="12"/>
      <name val="Arial"/>
      <family val="2"/>
    </font>
    <font>
      <b/>
      <i/>
      <sz val="11"/>
      <name val="Arial"/>
      <family val="2"/>
    </font>
    <font>
      <b/>
      <sz val="10"/>
      <color theme="0"/>
      <name val="Arial"/>
      <family val="2"/>
    </font>
    <font>
      <b/>
      <i/>
      <sz val="10"/>
      <color theme="0"/>
      <name val="Arial"/>
      <family val="2"/>
    </font>
    <font>
      <b/>
      <i/>
      <sz val="12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theme="0" tint="-4.9989318521683403E-2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</borders>
  <cellStyleXfs count="45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2" fillId="4" borderId="0" applyNumberFormat="0" applyBorder="0" applyAlignment="0" applyProtection="0"/>
    <xf numFmtId="0" fontId="13" fillId="16" borderId="1" applyNumberFormat="0" applyAlignment="0" applyProtection="0"/>
    <xf numFmtId="0" fontId="14" fillId="17" borderId="2" applyNumberFormat="0" applyAlignment="0" applyProtection="0"/>
    <xf numFmtId="0" fontId="15" fillId="0" borderId="3" applyNumberFormat="0" applyFill="0" applyAlignment="0" applyProtection="0"/>
    <xf numFmtId="0" fontId="16" fillId="0" borderId="0" applyNumberFormat="0" applyFill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21" borderId="0" applyNumberFormat="0" applyBorder="0" applyAlignment="0" applyProtection="0"/>
    <xf numFmtId="0" fontId="17" fillId="7" borderId="1" applyNumberFormat="0" applyAlignment="0" applyProtection="0"/>
    <xf numFmtId="164" fontId="3" fillId="0" borderId="0" applyFont="0" applyFill="0" applyBorder="0" applyAlignment="0" applyProtection="0"/>
    <xf numFmtId="0" fontId="18" fillId="3" borderId="0" applyNumberFormat="0" applyBorder="0" applyAlignment="0" applyProtection="0"/>
    <xf numFmtId="43" fontId="4" fillId="0" borderId="0" applyFont="0" applyFill="0" applyBorder="0" applyAlignment="0" applyProtection="0"/>
    <xf numFmtId="0" fontId="19" fillId="22" borderId="0" applyNumberFormat="0" applyBorder="0" applyAlignment="0" applyProtection="0"/>
    <xf numFmtId="0" fontId="3" fillId="23" borderId="4" applyNumberFormat="0" applyFont="0" applyAlignment="0" applyProtection="0"/>
    <xf numFmtId="0" fontId="20" fillId="16" borderId="5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16" fillId="0" borderId="8" applyNumberFormat="0" applyFill="0" applyAlignment="0" applyProtection="0"/>
    <xf numFmtId="0" fontId="26" fillId="0" borderId="9" applyNumberFormat="0" applyFill="0" applyAlignment="0" applyProtection="0"/>
    <xf numFmtId="0" fontId="2" fillId="0" borderId="0"/>
  </cellStyleXfs>
  <cellXfs count="49">
    <xf numFmtId="0" fontId="0" fillId="0" borderId="0" xfId="0"/>
    <xf numFmtId="0" fontId="0" fillId="0" borderId="0" xfId="0" applyFill="1"/>
    <xf numFmtId="0" fontId="0" fillId="0" borderId="10" xfId="0" applyFill="1" applyBorder="1"/>
    <xf numFmtId="0" fontId="8" fillId="0" borderId="0" xfId="0" applyFont="1" applyFill="1"/>
    <xf numFmtId="0" fontId="5" fillId="0" borderId="0" xfId="0" applyFont="1" applyFill="1"/>
    <xf numFmtId="3" fontId="0" fillId="0" borderId="0" xfId="0" applyNumberFormat="1"/>
    <xf numFmtId="0" fontId="5" fillId="0" borderId="0" xfId="0" applyFont="1"/>
    <xf numFmtId="0" fontId="0" fillId="0" borderId="10" xfId="0" applyFill="1" applyBorder="1" applyAlignment="1">
      <alignment horizontal="left"/>
    </xf>
    <xf numFmtId="0" fontId="9" fillId="0" borderId="10" xfId="0" applyFont="1" applyFill="1" applyBorder="1"/>
    <xf numFmtId="165" fontId="0" fillId="0" borderId="10" xfId="33" applyNumberFormat="1" applyFont="1" applyFill="1" applyBorder="1"/>
    <xf numFmtId="165" fontId="0" fillId="0" borderId="10" xfId="33" applyNumberFormat="1" applyFont="1" applyBorder="1"/>
    <xf numFmtId="0" fontId="9" fillId="0" borderId="10" xfId="0" applyFont="1" applyBorder="1"/>
    <xf numFmtId="0" fontId="0" fillId="0" borderId="10" xfId="0" applyBorder="1" applyAlignment="1">
      <alignment horizontal="left"/>
    </xf>
    <xf numFmtId="0" fontId="9" fillId="0" borderId="11" xfId="0" applyFont="1" applyBorder="1"/>
    <xf numFmtId="0" fontId="0" fillId="0" borderId="0" xfId="0" applyAlignment="1">
      <alignment horizontal="left"/>
    </xf>
    <xf numFmtId="0" fontId="3" fillId="0" borderId="0" xfId="0" applyFont="1"/>
    <xf numFmtId="0" fontId="9" fillId="0" borderId="12" xfId="0" applyFont="1" applyBorder="1"/>
    <xf numFmtId="0" fontId="0" fillId="0" borderId="12" xfId="0" applyBorder="1" applyAlignment="1">
      <alignment horizontal="left"/>
    </xf>
    <xf numFmtId="0" fontId="3" fillId="0" borderId="10" xfId="0" applyFont="1" applyBorder="1" applyAlignment="1">
      <alignment horizontal="left"/>
    </xf>
    <xf numFmtId="0" fontId="9" fillId="0" borderId="0" xfId="0" applyFont="1" applyBorder="1"/>
    <xf numFmtId="0" fontId="5" fillId="25" borderId="10" xfId="0" applyFont="1" applyFill="1" applyBorder="1" applyAlignment="1">
      <alignment horizontal="center"/>
    </xf>
    <xf numFmtId="165" fontId="5" fillId="25" borderId="10" xfId="33" applyNumberFormat="1" applyFont="1" applyFill="1" applyBorder="1" applyAlignment="1">
      <alignment horizontal="center"/>
    </xf>
    <xf numFmtId="0" fontId="5" fillId="26" borderId="10" xfId="0" applyFont="1" applyFill="1" applyBorder="1" applyAlignment="1">
      <alignment horizontal="left" wrapText="1"/>
    </xf>
    <xf numFmtId="0" fontId="29" fillId="24" borderId="10" xfId="0" applyFont="1" applyFill="1" applyBorder="1" applyAlignment="1">
      <alignment horizontal="center"/>
    </xf>
    <xf numFmtId="0" fontId="29" fillId="24" borderId="10" xfId="0" applyFont="1" applyFill="1" applyBorder="1" applyAlignment="1">
      <alignment horizontal="center" vertical="center" wrapText="1"/>
    </xf>
    <xf numFmtId="0" fontId="27" fillId="0" borderId="0" xfId="0" applyFont="1" applyAlignment="1"/>
    <xf numFmtId="0" fontId="5" fillId="0" borderId="0" xfId="0" applyFont="1" applyFill="1" applyAlignment="1"/>
    <xf numFmtId="0" fontId="7" fillId="0" borderId="0" xfId="0" applyFont="1" applyFill="1" applyAlignment="1"/>
    <xf numFmtId="0" fontId="5" fillId="0" borderId="0" xfId="0" applyFont="1" applyAlignment="1"/>
    <xf numFmtId="0" fontId="0" fillId="0" borderId="10" xfId="0" applyBorder="1"/>
    <xf numFmtId="0" fontId="8" fillId="0" borderId="0" xfId="0" applyFont="1"/>
    <xf numFmtId="0" fontId="3" fillId="0" borderId="10" xfId="0" applyFont="1" applyBorder="1"/>
    <xf numFmtId="165" fontId="0" fillId="0" borderId="0" xfId="33" applyNumberFormat="1" applyFont="1"/>
    <xf numFmtId="165" fontId="5" fillId="26" borderId="10" xfId="33" applyNumberFormat="1" applyFont="1" applyFill="1" applyBorder="1" applyAlignment="1">
      <alignment horizontal="center"/>
    </xf>
    <xf numFmtId="0" fontId="3" fillId="0" borderId="12" xfId="0" applyFont="1" applyBorder="1"/>
    <xf numFmtId="0" fontId="0" fillId="0" borderId="0" xfId="0" applyAlignment="1">
      <alignment vertical="center" wrapText="1"/>
    </xf>
    <xf numFmtId="0" fontId="3" fillId="0" borderId="10" xfId="0" applyFont="1" applyFill="1" applyBorder="1" applyAlignment="1">
      <alignment horizontal="left"/>
    </xf>
    <xf numFmtId="165" fontId="0" fillId="0" borderId="0" xfId="0" applyNumberFormat="1"/>
    <xf numFmtId="0" fontId="1" fillId="0" borderId="13" xfId="0" applyFont="1" applyBorder="1" applyAlignment="1">
      <alignment horizontal="left"/>
    </xf>
    <xf numFmtId="0" fontId="3" fillId="0" borderId="10" xfId="0" applyFont="1" applyFill="1" applyBorder="1"/>
    <xf numFmtId="165" fontId="27" fillId="0" borderId="0" xfId="33" applyNumberFormat="1" applyFont="1" applyAlignment="1"/>
    <xf numFmtId="165" fontId="5" fillId="0" borderId="0" xfId="33" applyNumberFormat="1" applyFont="1" applyFill="1" applyAlignment="1"/>
    <xf numFmtId="165" fontId="7" fillId="0" borderId="0" xfId="33" applyNumberFormat="1" applyFont="1" applyFill="1" applyAlignment="1"/>
    <xf numFmtId="165" fontId="5" fillId="0" borderId="0" xfId="33" applyNumberFormat="1" applyFont="1" applyAlignment="1"/>
    <xf numFmtId="165" fontId="29" fillId="24" borderId="10" xfId="33" applyNumberFormat="1" applyFont="1" applyFill="1" applyBorder="1" applyAlignment="1">
      <alignment horizontal="center" vertical="center" wrapText="1"/>
    </xf>
    <xf numFmtId="0" fontId="0" fillId="27" borderId="14" xfId="0" applyFont="1" applyFill="1" applyBorder="1" applyAlignment="1">
      <alignment horizontal="left"/>
    </xf>
    <xf numFmtId="165" fontId="0" fillId="27" borderId="14" xfId="0" applyNumberFormat="1" applyFont="1" applyFill="1" applyBorder="1"/>
    <xf numFmtId="0" fontId="0" fillId="0" borderId="0" xfId="0" applyFill="1" applyAlignment="1">
      <alignment horizontal="left"/>
    </xf>
    <xf numFmtId="165" fontId="0" fillId="0" borderId="10" xfId="0" applyNumberFormat="1" applyBorder="1"/>
  </cellXfs>
  <cellStyles count="45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a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uro" xfId="31"/>
    <cellStyle name="Incorrecto" xfId="32" builtinId="27" customBuiltin="1"/>
    <cellStyle name="Millares" xfId="33" builtinId="3"/>
    <cellStyle name="Neutral" xfId="34" builtinId="28" customBuiltin="1"/>
    <cellStyle name="Normal" xfId="0" builtinId="0"/>
    <cellStyle name="Normal 6" xfId="44"/>
    <cellStyle name="Notas" xfId="35" builtinId="10" customBuiltin="1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otal" xfId="43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2723886</xdr:colOff>
      <xdr:row>4</xdr:row>
      <xdr:rowOff>137584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2730500" cy="846666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2723886</xdr:colOff>
      <xdr:row>4</xdr:row>
      <xdr:rowOff>137584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2726267" cy="851958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2723886</xdr:colOff>
      <xdr:row>4</xdr:row>
      <xdr:rowOff>137584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2726267" cy="851958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2723886</xdr:colOff>
      <xdr:row>4</xdr:row>
      <xdr:rowOff>137584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2723886" cy="851958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2723886</xdr:colOff>
      <xdr:row>4</xdr:row>
      <xdr:rowOff>137584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2723886" cy="851958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2723886</xdr:colOff>
      <xdr:row>4</xdr:row>
      <xdr:rowOff>137584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2723886" cy="851958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2723886</xdr:colOff>
      <xdr:row>4</xdr:row>
      <xdr:rowOff>137584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2723886" cy="851958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2723886</xdr:colOff>
      <xdr:row>4</xdr:row>
      <xdr:rowOff>137584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2723886" cy="85195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N117"/>
  <sheetViews>
    <sheetView tabSelected="1" zoomScale="80" zoomScaleNormal="80" workbookViewId="0">
      <pane xSplit="1" topLeftCell="B1" activePane="topRight" state="frozen"/>
      <selection pane="topRight" activeCell="B1" sqref="B1"/>
    </sheetView>
  </sheetViews>
  <sheetFormatPr baseColWidth="10" defaultRowHeight="12.75" outlineLevelRow="1" x14ac:dyDescent="0.2"/>
  <cols>
    <col min="1" max="1" width="47.140625" customWidth="1"/>
    <col min="2" max="14" width="14.28515625" customWidth="1"/>
    <col min="15" max="15" width="3.140625" customWidth="1"/>
  </cols>
  <sheetData>
    <row r="1" spans="1:14" ht="15.75" x14ac:dyDescent="0.25">
      <c r="B1" s="25" t="s">
        <v>116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30">
        <v>2015</v>
      </c>
    </row>
    <row r="2" spans="1:14" x14ac:dyDescent="0.2">
      <c r="B2" s="26" t="s">
        <v>53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4" ht="15" x14ac:dyDescent="0.25">
      <c r="B3" s="27" t="s">
        <v>133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4" x14ac:dyDescent="0.2">
      <c r="B4" s="28" t="s">
        <v>117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1:14" x14ac:dyDescent="0.2">
      <c r="A5" s="3"/>
    </row>
    <row r="6" spans="1:14" x14ac:dyDescent="0.2">
      <c r="A6" s="23" t="s">
        <v>82</v>
      </c>
      <c r="B6" s="23" t="s">
        <v>83</v>
      </c>
      <c r="C6" s="23" t="s">
        <v>84</v>
      </c>
      <c r="D6" s="23" t="s">
        <v>118</v>
      </c>
      <c r="E6" s="23" t="s">
        <v>85</v>
      </c>
      <c r="F6" s="23" t="s">
        <v>86</v>
      </c>
      <c r="G6" s="23" t="s">
        <v>87</v>
      </c>
      <c r="H6" s="23" t="s">
        <v>119</v>
      </c>
      <c r="I6" s="23" t="s">
        <v>120</v>
      </c>
      <c r="J6" s="23" t="s">
        <v>121</v>
      </c>
      <c r="K6" s="23" t="s">
        <v>122</v>
      </c>
      <c r="L6" s="23" t="s">
        <v>123</v>
      </c>
      <c r="M6" s="23" t="s">
        <v>124</v>
      </c>
      <c r="N6" s="23" t="s">
        <v>125</v>
      </c>
    </row>
    <row r="7" spans="1:14" x14ac:dyDescent="0.2">
      <c r="A7" s="14" t="s">
        <v>108</v>
      </c>
      <c r="B7" s="9">
        <v>238</v>
      </c>
      <c r="C7" s="9">
        <v>155</v>
      </c>
      <c r="D7" s="9">
        <v>170</v>
      </c>
      <c r="E7" s="9">
        <v>176</v>
      </c>
      <c r="F7" s="9">
        <v>186</v>
      </c>
      <c r="G7" s="9">
        <v>170</v>
      </c>
      <c r="H7" s="9">
        <v>256</v>
      </c>
      <c r="I7" s="9">
        <v>256</v>
      </c>
      <c r="J7" s="9">
        <v>246</v>
      </c>
      <c r="K7" s="9">
        <v>256</v>
      </c>
      <c r="L7" s="9">
        <v>294</v>
      </c>
      <c r="M7" s="9">
        <v>438</v>
      </c>
      <c r="N7" s="9">
        <f t="shared" ref="N7:N18" si="0">SUM(B7:M7)</f>
        <v>2841</v>
      </c>
    </row>
    <row r="8" spans="1:14" x14ac:dyDescent="0.2">
      <c r="A8" s="2" t="s">
        <v>4</v>
      </c>
      <c r="B8" s="9">
        <v>2175</v>
      </c>
      <c r="C8" s="9">
        <v>1983</v>
      </c>
      <c r="D8" s="9">
        <v>2206</v>
      </c>
      <c r="E8" s="9">
        <v>2188</v>
      </c>
      <c r="F8" s="9">
        <v>2116</v>
      </c>
      <c r="G8" s="9">
        <v>2146</v>
      </c>
      <c r="H8" s="9">
        <v>2242</v>
      </c>
      <c r="I8" s="9">
        <v>2223</v>
      </c>
      <c r="J8" s="9">
        <v>2300</v>
      </c>
      <c r="K8" s="9">
        <v>2197</v>
      </c>
      <c r="L8" s="9">
        <v>2219</v>
      </c>
      <c r="M8" s="9">
        <v>2358</v>
      </c>
      <c r="N8" s="9">
        <f t="shared" si="0"/>
        <v>26353</v>
      </c>
    </row>
    <row r="9" spans="1:14" s="1" customFormat="1" x14ac:dyDescent="0.2">
      <c r="A9" s="2" t="s">
        <v>2</v>
      </c>
      <c r="B9" s="9">
        <v>4138</v>
      </c>
      <c r="C9" s="9">
        <v>3983</v>
      </c>
      <c r="D9" s="9">
        <v>4312</v>
      </c>
      <c r="E9" s="9">
        <v>4195</v>
      </c>
      <c r="F9" s="9">
        <v>4724</v>
      </c>
      <c r="G9" s="9">
        <v>4367</v>
      </c>
      <c r="H9" s="9">
        <v>4405</v>
      </c>
      <c r="I9" s="9">
        <v>4519</v>
      </c>
      <c r="J9" s="9">
        <v>4169</v>
      </c>
      <c r="K9" s="9">
        <v>4442</v>
      </c>
      <c r="L9" s="9">
        <v>4431</v>
      </c>
      <c r="M9" s="9">
        <v>4217</v>
      </c>
      <c r="N9" s="9">
        <f t="shared" si="0"/>
        <v>51902</v>
      </c>
    </row>
    <row r="10" spans="1:14" s="1" customFormat="1" x14ac:dyDescent="0.2">
      <c r="A10" s="2" t="s">
        <v>1</v>
      </c>
      <c r="B10" s="9">
        <v>10468</v>
      </c>
      <c r="C10" s="9">
        <v>9565</v>
      </c>
      <c r="D10" s="9">
        <v>10566</v>
      </c>
      <c r="E10" s="9">
        <v>10039</v>
      </c>
      <c r="F10" s="9">
        <v>10159</v>
      </c>
      <c r="G10" s="9">
        <v>9689</v>
      </c>
      <c r="H10" s="9">
        <v>10048</v>
      </c>
      <c r="I10" s="9">
        <v>10312</v>
      </c>
      <c r="J10" s="9">
        <v>9574</v>
      </c>
      <c r="K10" s="9">
        <v>10127</v>
      </c>
      <c r="L10" s="9">
        <v>9844</v>
      </c>
      <c r="M10" s="9">
        <v>10246</v>
      </c>
      <c r="N10" s="9">
        <f t="shared" si="0"/>
        <v>120637</v>
      </c>
    </row>
    <row r="11" spans="1:14" s="1" customFormat="1" x14ac:dyDescent="0.2">
      <c r="A11" s="2" t="s">
        <v>57</v>
      </c>
      <c r="B11" s="9">
        <v>72</v>
      </c>
      <c r="C11" s="9">
        <v>62</v>
      </c>
      <c r="D11" s="9">
        <v>77</v>
      </c>
      <c r="E11" s="9">
        <v>70</v>
      </c>
      <c r="F11" s="9">
        <v>79</v>
      </c>
      <c r="G11" s="9">
        <v>72</v>
      </c>
      <c r="H11" s="9">
        <v>79</v>
      </c>
      <c r="I11" s="9">
        <v>77</v>
      </c>
      <c r="J11" s="9">
        <v>59</v>
      </c>
      <c r="K11" s="9">
        <v>70</v>
      </c>
      <c r="L11" s="9">
        <v>65</v>
      </c>
      <c r="M11" s="9">
        <v>69</v>
      </c>
      <c r="N11" s="9">
        <f t="shared" si="0"/>
        <v>851</v>
      </c>
    </row>
    <row r="12" spans="1:14" s="1" customFormat="1" x14ac:dyDescent="0.2">
      <c r="A12" s="2" t="s">
        <v>28</v>
      </c>
      <c r="B12" s="9">
        <v>511</v>
      </c>
      <c r="C12" s="9">
        <v>448</v>
      </c>
      <c r="D12" s="9">
        <v>498</v>
      </c>
      <c r="E12" s="9">
        <v>516</v>
      </c>
      <c r="F12" s="9">
        <v>496</v>
      </c>
      <c r="G12" s="9">
        <v>517</v>
      </c>
      <c r="H12" s="9">
        <v>530</v>
      </c>
      <c r="I12" s="9">
        <v>455</v>
      </c>
      <c r="J12" s="9">
        <v>485</v>
      </c>
      <c r="K12" s="9">
        <v>546</v>
      </c>
      <c r="L12" s="9">
        <v>482</v>
      </c>
      <c r="M12" s="9">
        <v>555</v>
      </c>
      <c r="N12" s="9">
        <f t="shared" si="0"/>
        <v>6039</v>
      </c>
    </row>
    <row r="13" spans="1:14" s="1" customFormat="1" x14ac:dyDescent="0.2">
      <c r="A13" s="2" t="s">
        <v>3</v>
      </c>
      <c r="B13" s="9">
        <v>7125</v>
      </c>
      <c r="C13" s="9">
        <v>6315</v>
      </c>
      <c r="D13" s="9">
        <v>7316</v>
      </c>
      <c r="E13" s="9">
        <v>7101</v>
      </c>
      <c r="F13" s="9">
        <v>7280</v>
      </c>
      <c r="G13" s="9">
        <v>7113</v>
      </c>
      <c r="H13" s="9">
        <v>7712</v>
      </c>
      <c r="I13" s="9">
        <v>7360</v>
      </c>
      <c r="J13" s="9">
        <v>6957</v>
      </c>
      <c r="K13" s="9">
        <v>7250</v>
      </c>
      <c r="L13" s="9">
        <v>7124</v>
      </c>
      <c r="M13" s="9">
        <v>7595</v>
      </c>
      <c r="N13" s="9">
        <f t="shared" si="0"/>
        <v>86248</v>
      </c>
    </row>
    <row r="14" spans="1:14" s="1" customFormat="1" x14ac:dyDescent="0.2">
      <c r="A14" s="2" t="s">
        <v>6</v>
      </c>
      <c r="B14" s="9">
        <v>633</v>
      </c>
      <c r="C14" s="9">
        <v>481</v>
      </c>
      <c r="D14" s="9">
        <v>635</v>
      </c>
      <c r="E14" s="9">
        <v>663</v>
      </c>
      <c r="F14" s="9">
        <v>845</v>
      </c>
      <c r="G14" s="9">
        <v>871</v>
      </c>
      <c r="H14" s="9">
        <v>1169</v>
      </c>
      <c r="I14" s="9">
        <v>1164</v>
      </c>
      <c r="J14" s="9">
        <v>701</v>
      </c>
      <c r="K14" s="9">
        <v>671</v>
      </c>
      <c r="L14" s="9">
        <v>630</v>
      </c>
      <c r="M14" s="9">
        <v>583</v>
      </c>
      <c r="N14" s="9">
        <f t="shared" si="0"/>
        <v>9046</v>
      </c>
    </row>
    <row r="15" spans="1:14" s="1" customFormat="1" x14ac:dyDescent="0.2">
      <c r="A15" s="2" t="s">
        <v>29</v>
      </c>
      <c r="B15" s="9">
        <v>31</v>
      </c>
      <c r="C15" s="9">
        <v>26</v>
      </c>
      <c r="D15" s="9">
        <v>26</v>
      </c>
      <c r="E15" s="9">
        <v>27</v>
      </c>
      <c r="F15" s="9">
        <v>29</v>
      </c>
      <c r="G15" s="9">
        <v>30</v>
      </c>
      <c r="H15" s="9">
        <v>32</v>
      </c>
      <c r="I15" s="9">
        <v>30</v>
      </c>
      <c r="J15" s="9">
        <v>30</v>
      </c>
      <c r="K15" s="9">
        <v>29</v>
      </c>
      <c r="L15" s="9">
        <v>30</v>
      </c>
      <c r="M15" s="9">
        <v>27</v>
      </c>
      <c r="N15" s="9">
        <f t="shared" si="0"/>
        <v>347</v>
      </c>
    </row>
    <row r="16" spans="1:14" s="1" customFormat="1" x14ac:dyDescent="0.2">
      <c r="A16" s="2" t="s">
        <v>103</v>
      </c>
      <c r="B16" s="9">
        <v>539</v>
      </c>
      <c r="C16" s="9">
        <v>473</v>
      </c>
      <c r="D16" s="9">
        <v>582</v>
      </c>
      <c r="E16" s="9">
        <v>579</v>
      </c>
      <c r="F16" s="9">
        <v>576</v>
      </c>
      <c r="G16" s="9">
        <v>563</v>
      </c>
      <c r="H16" s="9">
        <v>716</v>
      </c>
      <c r="I16" s="9">
        <v>786</v>
      </c>
      <c r="J16" s="9">
        <v>765</v>
      </c>
      <c r="K16" s="9">
        <v>974</v>
      </c>
      <c r="L16" s="9">
        <v>1214</v>
      </c>
      <c r="M16" s="9">
        <v>1478</v>
      </c>
      <c r="N16" s="9">
        <f t="shared" si="0"/>
        <v>9245</v>
      </c>
    </row>
    <row r="17" spans="1:14" s="1" customFormat="1" x14ac:dyDescent="0.2">
      <c r="A17" s="2" t="s">
        <v>5</v>
      </c>
      <c r="B17" s="9">
        <v>2700</v>
      </c>
      <c r="C17" s="9">
        <v>2201</v>
      </c>
      <c r="D17" s="9">
        <v>2639</v>
      </c>
      <c r="E17" s="9">
        <v>2997</v>
      </c>
      <c r="F17" s="9">
        <v>2551</v>
      </c>
      <c r="G17" s="9">
        <v>2521</v>
      </c>
      <c r="H17" s="9">
        <v>3503</v>
      </c>
      <c r="I17" s="9">
        <v>3331</v>
      </c>
      <c r="J17" s="9">
        <v>2630</v>
      </c>
      <c r="K17" s="9">
        <v>2858</v>
      </c>
      <c r="L17" s="9">
        <v>2904</v>
      </c>
      <c r="M17" s="9">
        <v>3240</v>
      </c>
      <c r="N17" s="9">
        <f t="shared" si="0"/>
        <v>34075</v>
      </c>
    </row>
    <row r="18" spans="1:14" s="1" customFormat="1" x14ac:dyDescent="0.2">
      <c r="A18" s="2" t="s">
        <v>50</v>
      </c>
      <c r="B18" s="9">
        <v>5601</v>
      </c>
      <c r="C18" s="9">
        <v>4602</v>
      </c>
      <c r="D18" s="9">
        <v>5407</v>
      </c>
      <c r="E18" s="9">
        <v>5689</v>
      </c>
      <c r="F18" s="9">
        <v>5700</v>
      </c>
      <c r="G18" s="9">
        <v>5833</v>
      </c>
      <c r="H18" s="9">
        <v>6864</v>
      </c>
      <c r="I18" s="9">
        <v>6794</v>
      </c>
      <c r="J18" s="9">
        <v>5608</v>
      </c>
      <c r="K18" s="9">
        <v>5905</v>
      </c>
      <c r="L18" s="9">
        <v>6128</v>
      </c>
      <c r="M18" s="9">
        <v>6640</v>
      </c>
      <c r="N18" s="9">
        <f t="shared" si="0"/>
        <v>70771</v>
      </c>
    </row>
    <row r="19" spans="1:14" x14ac:dyDescent="0.2">
      <c r="A19" s="20" t="s">
        <v>0</v>
      </c>
      <c r="B19" s="21">
        <f t="shared" ref="B19:N19" si="1">SUM(B7:B18)</f>
        <v>34231</v>
      </c>
      <c r="C19" s="21">
        <f t="shared" si="1"/>
        <v>30294</v>
      </c>
      <c r="D19" s="21">
        <f t="shared" si="1"/>
        <v>34434</v>
      </c>
      <c r="E19" s="21">
        <f t="shared" si="1"/>
        <v>34240</v>
      </c>
      <c r="F19" s="21">
        <f t="shared" si="1"/>
        <v>34741</v>
      </c>
      <c r="G19" s="21">
        <f t="shared" si="1"/>
        <v>33892</v>
      </c>
      <c r="H19" s="21">
        <f t="shared" si="1"/>
        <v>37556</v>
      </c>
      <c r="I19" s="21">
        <f t="shared" si="1"/>
        <v>37307</v>
      </c>
      <c r="J19" s="21">
        <f t="shared" si="1"/>
        <v>33524</v>
      </c>
      <c r="K19" s="21">
        <f t="shared" si="1"/>
        <v>35325</v>
      </c>
      <c r="L19" s="21">
        <f t="shared" si="1"/>
        <v>35365</v>
      </c>
      <c r="M19" s="21">
        <f t="shared" si="1"/>
        <v>37446</v>
      </c>
      <c r="N19" s="21">
        <f t="shared" si="1"/>
        <v>418355</v>
      </c>
    </row>
    <row r="20" spans="1:14" x14ac:dyDescent="0.2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4" x14ac:dyDescent="0.2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x14ac:dyDescent="0.2">
      <c r="A22" s="4" t="s">
        <v>132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x14ac:dyDescent="0.2">
      <c r="A23" s="6" t="s">
        <v>126</v>
      </c>
    </row>
    <row r="25" spans="1:14" x14ac:dyDescent="0.2">
      <c r="A25" s="23" t="s">
        <v>82</v>
      </c>
      <c r="B25" s="23" t="s">
        <v>83</v>
      </c>
      <c r="C25" s="23" t="s">
        <v>84</v>
      </c>
      <c r="D25" s="23" t="s">
        <v>118</v>
      </c>
      <c r="E25" s="23" t="s">
        <v>85</v>
      </c>
      <c r="F25" s="23" t="s">
        <v>86</v>
      </c>
      <c r="G25" s="23" t="s">
        <v>87</v>
      </c>
      <c r="H25" s="23" t="s">
        <v>119</v>
      </c>
      <c r="I25" s="23" t="s">
        <v>120</v>
      </c>
      <c r="J25" s="23" t="s">
        <v>121</v>
      </c>
      <c r="K25" s="23" t="s">
        <v>122</v>
      </c>
      <c r="L25" s="23" t="s">
        <v>123</v>
      </c>
      <c r="M25" s="23" t="s">
        <v>124</v>
      </c>
      <c r="N25" s="23" t="s">
        <v>125</v>
      </c>
    </row>
    <row r="26" spans="1:14" s="1" customFormat="1" x14ac:dyDescent="0.2">
      <c r="A26" s="7" t="s">
        <v>4</v>
      </c>
      <c r="B26" s="9">
        <v>44</v>
      </c>
      <c r="C26" s="9">
        <v>32</v>
      </c>
      <c r="D26" s="9">
        <v>40</v>
      </c>
      <c r="E26" s="9">
        <v>40</v>
      </c>
      <c r="F26" s="9">
        <v>36</v>
      </c>
      <c r="G26" s="9">
        <v>34</v>
      </c>
      <c r="H26" s="9">
        <v>52</v>
      </c>
      <c r="I26" s="9">
        <v>58</v>
      </c>
      <c r="J26" s="9">
        <v>34</v>
      </c>
      <c r="K26" s="9">
        <v>42</v>
      </c>
      <c r="L26" s="9">
        <v>44</v>
      </c>
      <c r="M26" s="9">
        <v>52</v>
      </c>
      <c r="N26" s="9">
        <f t="shared" ref="N26:N34" si="2">SUM(B26:M26)</f>
        <v>508</v>
      </c>
    </row>
    <row r="27" spans="1:14" x14ac:dyDescent="0.2">
      <c r="A27" s="7" t="s">
        <v>2</v>
      </c>
      <c r="B27" s="9">
        <v>3177</v>
      </c>
      <c r="C27" s="9">
        <v>2733</v>
      </c>
      <c r="D27" s="9">
        <v>3145</v>
      </c>
      <c r="E27" s="9">
        <v>3184</v>
      </c>
      <c r="F27" s="9">
        <v>3360</v>
      </c>
      <c r="G27" s="9">
        <v>3232</v>
      </c>
      <c r="H27" s="9">
        <v>3524</v>
      </c>
      <c r="I27" s="9">
        <v>3507</v>
      </c>
      <c r="J27" s="9">
        <v>3072</v>
      </c>
      <c r="K27" s="9">
        <v>3154</v>
      </c>
      <c r="L27" s="9">
        <v>3151</v>
      </c>
      <c r="M27" s="9">
        <v>3603</v>
      </c>
      <c r="N27" s="9">
        <f t="shared" si="2"/>
        <v>38842</v>
      </c>
    </row>
    <row r="28" spans="1:14" x14ac:dyDescent="0.2">
      <c r="A28" s="2" t="s">
        <v>1</v>
      </c>
      <c r="B28" s="9">
        <v>1207</v>
      </c>
      <c r="C28" s="9">
        <v>1053</v>
      </c>
      <c r="D28" s="9">
        <v>1238</v>
      </c>
      <c r="E28" s="9">
        <v>1259</v>
      </c>
      <c r="F28" s="9">
        <v>1355</v>
      </c>
      <c r="G28" s="9">
        <v>1306</v>
      </c>
      <c r="H28" s="9">
        <v>1366</v>
      </c>
      <c r="I28" s="9">
        <v>1365</v>
      </c>
      <c r="J28" s="9">
        <v>1166</v>
      </c>
      <c r="K28" s="9">
        <v>1203</v>
      </c>
      <c r="L28" s="9">
        <v>1172</v>
      </c>
      <c r="M28" s="9">
        <v>1216</v>
      </c>
      <c r="N28" s="9">
        <f t="shared" si="2"/>
        <v>14906</v>
      </c>
    </row>
    <row r="29" spans="1:14" x14ac:dyDescent="0.2">
      <c r="A29" s="2" t="s">
        <v>57</v>
      </c>
      <c r="B29" s="9">
        <v>117</v>
      </c>
      <c r="C29" s="9">
        <v>128</v>
      </c>
      <c r="D29" s="9">
        <v>137</v>
      </c>
      <c r="E29" s="9">
        <v>130</v>
      </c>
      <c r="F29" s="9">
        <v>150</v>
      </c>
      <c r="G29" s="9">
        <v>135</v>
      </c>
      <c r="H29" s="9">
        <v>151</v>
      </c>
      <c r="I29" s="9">
        <v>138</v>
      </c>
      <c r="J29" s="9">
        <v>124</v>
      </c>
      <c r="K29" s="9">
        <v>140</v>
      </c>
      <c r="L29" s="9">
        <v>156</v>
      </c>
      <c r="M29" s="9">
        <v>130</v>
      </c>
      <c r="N29" s="9">
        <f t="shared" si="2"/>
        <v>1636</v>
      </c>
    </row>
    <row r="30" spans="1:14" x14ac:dyDescent="0.2">
      <c r="A30" s="2" t="s">
        <v>28</v>
      </c>
      <c r="B30" s="9">
        <v>42</v>
      </c>
      <c r="C30" s="9">
        <v>38</v>
      </c>
      <c r="D30" s="9">
        <v>40</v>
      </c>
      <c r="E30" s="9">
        <v>41</v>
      </c>
      <c r="F30" s="9">
        <v>41</v>
      </c>
      <c r="G30" s="9">
        <v>44</v>
      </c>
      <c r="H30" s="9">
        <v>46</v>
      </c>
      <c r="I30" s="9">
        <v>41</v>
      </c>
      <c r="J30" s="9">
        <v>42</v>
      </c>
      <c r="K30" s="9">
        <v>44</v>
      </c>
      <c r="L30" s="9">
        <v>38</v>
      </c>
      <c r="M30" s="9">
        <v>43</v>
      </c>
      <c r="N30" s="9">
        <f t="shared" si="2"/>
        <v>500</v>
      </c>
    </row>
    <row r="31" spans="1:14" x14ac:dyDescent="0.2">
      <c r="A31" s="2" t="s">
        <v>3</v>
      </c>
      <c r="B31" s="9">
        <v>932</v>
      </c>
      <c r="C31" s="9">
        <v>819</v>
      </c>
      <c r="D31" s="9">
        <v>1010</v>
      </c>
      <c r="E31" s="9">
        <v>1014</v>
      </c>
      <c r="F31" s="9">
        <v>1072</v>
      </c>
      <c r="G31" s="9">
        <v>1163</v>
      </c>
      <c r="H31" s="9">
        <v>1339</v>
      </c>
      <c r="I31" s="9">
        <v>1308</v>
      </c>
      <c r="J31" s="9">
        <v>1256</v>
      </c>
      <c r="K31" s="9">
        <v>1329</v>
      </c>
      <c r="L31" s="9">
        <v>1308</v>
      </c>
      <c r="M31" s="9">
        <v>1444</v>
      </c>
      <c r="N31" s="9">
        <f t="shared" si="2"/>
        <v>13994</v>
      </c>
    </row>
    <row r="32" spans="1:14" x14ac:dyDescent="0.2">
      <c r="A32" s="2" t="s">
        <v>29</v>
      </c>
      <c r="B32" s="9">
        <v>101</v>
      </c>
      <c r="C32" s="9">
        <v>101</v>
      </c>
      <c r="D32" s="9">
        <v>98</v>
      </c>
      <c r="E32" s="9">
        <v>102</v>
      </c>
      <c r="F32" s="9">
        <v>114</v>
      </c>
      <c r="G32" s="9">
        <v>100</v>
      </c>
      <c r="H32" s="9">
        <v>107</v>
      </c>
      <c r="I32" s="9">
        <v>96</v>
      </c>
      <c r="J32" s="9">
        <v>100</v>
      </c>
      <c r="K32" s="9">
        <v>104</v>
      </c>
      <c r="L32" s="9">
        <v>112</v>
      </c>
      <c r="M32" s="9">
        <v>105</v>
      </c>
      <c r="N32" s="9">
        <f t="shared" si="2"/>
        <v>1240</v>
      </c>
    </row>
    <row r="33" spans="1:14" x14ac:dyDescent="0.2">
      <c r="A33" s="2" t="s">
        <v>5</v>
      </c>
      <c r="B33" s="9">
        <v>178</v>
      </c>
      <c r="C33" s="9">
        <v>102</v>
      </c>
      <c r="D33" s="9">
        <v>142</v>
      </c>
      <c r="E33" s="9">
        <v>184</v>
      </c>
      <c r="F33" s="9">
        <v>194</v>
      </c>
      <c r="G33" s="9">
        <v>205</v>
      </c>
      <c r="H33" s="9">
        <v>201</v>
      </c>
      <c r="I33" s="9">
        <v>142</v>
      </c>
      <c r="J33" s="9">
        <v>79</v>
      </c>
      <c r="K33" s="9">
        <v>44</v>
      </c>
      <c r="L33" s="9">
        <v>36</v>
      </c>
      <c r="M33" s="9">
        <v>70</v>
      </c>
      <c r="N33" s="9">
        <f t="shared" si="2"/>
        <v>1577</v>
      </c>
    </row>
    <row r="34" spans="1:14" x14ac:dyDescent="0.2">
      <c r="A34" s="2" t="s">
        <v>50</v>
      </c>
      <c r="B34" s="9">
        <v>1381</v>
      </c>
      <c r="C34" s="9">
        <v>1032</v>
      </c>
      <c r="D34" s="9">
        <v>1272</v>
      </c>
      <c r="E34" s="9">
        <v>1314</v>
      </c>
      <c r="F34" s="9">
        <v>1251</v>
      </c>
      <c r="G34" s="9">
        <v>1346</v>
      </c>
      <c r="H34" s="9">
        <v>1809</v>
      </c>
      <c r="I34" s="9">
        <v>1715</v>
      </c>
      <c r="J34" s="9">
        <v>1265</v>
      </c>
      <c r="K34" s="9">
        <v>1390</v>
      </c>
      <c r="L34" s="9">
        <v>1484</v>
      </c>
      <c r="M34" s="9">
        <v>1797</v>
      </c>
      <c r="N34" s="9">
        <f t="shared" si="2"/>
        <v>17056</v>
      </c>
    </row>
    <row r="35" spans="1:14" x14ac:dyDescent="0.2">
      <c r="A35" s="20" t="s">
        <v>0</v>
      </c>
      <c r="B35" s="21">
        <f t="shared" ref="B35:N35" si="3">SUM(B26:B34)</f>
        <v>7179</v>
      </c>
      <c r="C35" s="21">
        <f t="shared" si="3"/>
        <v>6038</v>
      </c>
      <c r="D35" s="21">
        <f t="shared" si="3"/>
        <v>7122</v>
      </c>
      <c r="E35" s="21">
        <f t="shared" si="3"/>
        <v>7268</v>
      </c>
      <c r="F35" s="21">
        <f t="shared" si="3"/>
        <v>7573</v>
      </c>
      <c r="G35" s="21">
        <f t="shared" si="3"/>
        <v>7565</v>
      </c>
      <c r="H35" s="21">
        <f t="shared" si="3"/>
        <v>8595</v>
      </c>
      <c r="I35" s="21">
        <f t="shared" si="3"/>
        <v>8370</v>
      </c>
      <c r="J35" s="21">
        <f t="shared" si="3"/>
        <v>7138</v>
      </c>
      <c r="K35" s="21">
        <f t="shared" si="3"/>
        <v>7450</v>
      </c>
      <c r="L35" s="21">
        <f t="shared" si="3"/>
        <v>7501</v>
      </c>
      <c r="M35" s="21">
        <f t="shared" si="3"/>
        <v>8460</v>
      </c>
      <c r="N35" s="21">
        <f t="shared" si="3"/>
        <v>90259</v>
      </c>
    </row>
    <row r="38" spans="1:14" x14ac:dyDescent="0.2">
      <c r="A38" s="4" t="s">
        <v>131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4" x14ac:dyDescent="0.2">
      <c r="A39" s="6" t="s">
        <v>126</v>
      </c>
    </row>
    <row r="40" spans="1:14" x14ac:dyDescent="0.2">
      <c r="A40" s="6"/>
    </row>
    <row r="41" spans="1:14" x14ac:dyDescent="0.2">
      <c r="A41" s="23" t="s">
        <v>82</v>
      </c>
      <c r="B41" s="23" t="s">
        <v>83</v>
      </c>
      <c r="C41" s="23" t="s">
        <v>84</v>
      </c>
      <c r="D41" s="23" t="s">
        <v>118</v>
      </c>
      <c r="E41" s="23" t="s">
        <v>85</v>
      </c>
      <c r="F41" s="23" t="s">
        <v>86</v>
      </c>
      <c r="G41" s="23" t="s">
        <v>87</v>
      </c>
      <c r="H41" s="23" t="s">
        <v>119</v>
      </c>
      <c r="I41" s="23" t="s">
        <v>120</v>
      </c>
      <c r="J41" s="23" t="s">
        <v>121</v>
      </c>
      <c r="K41" s="23" t="s">
        <v>122</v>
      </c>
      <c r="L41" s="23" t="s">
        <v>123</v>
      </c>
      <c r="M41" s="23" t="s">
        <v>124</v>
      </c>
      <c r="N41" s="23" t="s">
        <v>125</v>
      </c>
    </row>
    <row r="42" spans="1:14" s="1" customFormat="1" ht="12" customHeight="1" x14ac:dyDescent="0.2">
      <c r="A42" s="22" t="s">
        <v>127</v>
      </c>
      <c r="B42" s="33">
        <f t="shared" ref="B42:N42" si="4">SUM(B43:B63)</f>
        <v>16520</v>
      </c>
      <c r="C42" s="33">
        <f t="shared" si="4"/>
        <v>14722</v>
      </c>
      <c r="D42" s="33">
        <f t="shared" si="4"/>
        <v>17328</v>
      </c>
      <c r="E42" s="33">
        <f t="shared" si="4"/>
        <v>15358</v>
      </c>
      <c r="F42" s="33">
        <f t="shared" si="4"/>
        <v>14203</v>
      </c>
      <c r="G42" s="33">
        <f t="shared" si="4"/>
        <v>15281</v>
      </c>
      <c r="H42" s="33">
        <f t="shared" si="4"/>
        <v>16115</v>
      </c>
      <c r="I42" s="33">
        <f t="shared" si="4"/>
        <v>14678</v>
      </c>
      <c r="J42" s="33">
        <f t="shared" si="4"/>
        <v>11286</v>
      </c>
      <c r="K42" s="33">
        <f t="shared" si="4"/>
        <v>12932</v>
      </c>
      <c r="L42" s="33">
        <f t="shared" si="4"/>
        <v>14988</v>
      </c>
      <c r="M42" s="33">
        <f t="shared" si="4"/>
        <v>16788</v>
      </c>
      <c r="N42" s="33">
        <f t="shared" si="4"/>
        <v>180199</v>
      </c>
    </row>
    <row r="43" spans="1:14" s="1" customFormat="1" ht="12.75" hidden="1" customHeight="1" outlineLevel="1" x14ac:dyDescent="0.2">
      <c r="A43" s="11" t="s">
        <v>61</v>
      </c>
      <c r="B43" s="9">
        <v>63</v>
      </c>
      <c r="C43" s="9">
        <v>78</v>
      </c>
      <c r="D43" s="9">
        <v>91</v>
      </c>
      <c r="E43" s="9">
        <v>80</v>
      </c>
      <c r="F43" s="9">
        <v>93</v>
      </c>
      <c r="G43" s="9">
        <v>84</v>
      </c>
      <c r="H43" s="9">
        <v>91</v>
      </c>
      <c r="I43" s="9">
        <v>92</v>
      </c>
      <c r="J43" s="9">
        <v>92</v>
      </c>
      <c r="K43" s="9">
        <v>93</v>
      </c>
      <c r="L43" s="9">
        <v>82</v>
      </c>
      <c r="M43" s="9">
        <v>80</v>
      </c>
      <c r="N43" s="9">
        <f t="shared" ref="N43:N63" si="5">SUM(B43:M43)</f>
        <v>1019</v>
      </c>
    </row>
    <row r="44" spans="1:14" s="1" customFormat="1" ht="12.75" hidden="1" customHeight="1" outlineLevel="1" x14ac:dyDescent="0.2">
      <c r="A44" s="11" t="s">
        <v>10</v>
      </c>
      <c r="B44" s="9">
        <v>1052</v>
      </c>
      <c r="C44" s="9">
        <v>924</v>
      </c>
      <c r="D44" s="9">
        <v>1118</v>
      </c>
      <c r="E44" s="9">
        <v>1018</v>
      </c>
      <c r="F44" s="9">
        <v>767</v>
      </c>
      <c r="G44" s="9">
        <v>721</v>
      </c>
      <c r="H44" s="9">
        <v>710</v>
      </c>
      <c r="I44" s="9">
        <v>670</v>
      </c>
      <c r="J44" s="9">
        <v>643</v>
      </c>
      <c r="K44" s="9">
        <v>790</v>
      </c>
      <c r="L44" s="9">
        <v>1009</v>
      </c>
      <c r="M44" s="9">
        <v>1124</v>
      </c>
      <c r="N44" s="9">
        <f t="shared" si="5"/>
        <v>10546</v>
      </c>
    </row>
    <row r="45" spans="1:14" s="1" customFormat="1" ht="13.5" hidden="1" customHeight="1" outlineLevel="1" x14ac:dyDescent="0.2">
      <c r="A45" s="11" t="s">
        <v>8</v>
      </c>
      <c r="B45" s="9">
        <v>2841</v>
      </c>
      <c r="C45" s="9">
        <v>2499</v>
      </c>
      <c r="D45" s="9">
        <v>2862</v>
      </c>
      <c r="E45" s="9">
        <v>2396</v>
      </c>
      <c r="F45" s="9">
        <v>2322</v>
      </c>
      <c r="G45" s="9">
        <v>2402</v>
      </c>
      <c r="H45" s="9">
        <v>2504</v>
      </c>
      <c r="I45" s="9">
        <v>2343</v>
      </c>
      <c r="J45" s="9">
        <v>2068</v>
      </c>
      <c r="K45" s="9">
        <v>2220</v>
      </c>
      <c r="L45" s="9">
        <v>2428</v>
      </c>
      <c r="M45" s="9">
        <v>2462</v>
      </c>
      <c r="N45" s="9">
        <f t="shared" si="5"/>
        <v>29347</v>
      </c>
    </row>
    <row r="46" spans="1:14" s="1" customFormat="1" ht="12.75" hidden="1" customHeight="1" outlineLevel="1" x14ac:dyDescent="0.2">
      <c r="A46" s="11" t="s">
        <v>17</v>
      </c>
      <c r="B46" s="9">
        <v>70</v>
      </c>
      <c r="C46" s="9">
        <v>64</v>
      </c>
      <c r="D46" s="9">
        <v>62</v>
      </c>
      <c r="E46" s="9">
        <v>64</v>
      </c>
      <c r="F46" s="9">
        <v>62</v>
      </c>
      <c r="G46" s="9">
        <v>65</v>
      </c>
      <c r="H46" s="9">
        <v>64</v>
      </c>
      <c r="I46" s="9">
        <v>65</v>
      </c>
      <c r="J46" s="9">
        <v>57</v>
      </c>
      <c r="K46" s="9">
        <v>66</v>
      </c>
      <c r="L46" s="9">
        <v>60</v>
      </c>
      <c r="M46" s="9">
        <v>61</v>
      </c>
      <c r="N46" s="9">
        <f t="shared" si="5"/>
        <v>760</v>
      </c>
    </row>
    <row r="47" spans="1:14" s="1" customFormat="1" ht="12.75" hidden="1" customHeight="1" outlineLevel="1" x14ac:dyDescent="0.2">
      <c r="A47" s="12" t="s">
        <v>52</v>
      </c>
      <c r="B47" s="9">
        <v>34</v>
      </c>
      <c r="C47" s="9">
        <v>32</v>
      </c>
      <c r="D47" s="9">
        <v>36</v>
      </c>
      <c r="E47" s="9">
        <v>32</v>
      </c>
      <c r="F47" s="9">
        <v>36</v>
      </c>
      <c r="G47" s="9">
        <v>36</v>
      </c>
      <c r="H47" s="9">
        <v>38</v>
      </c>
      <c r="I47" s="9">
        <v>38</v>
      </c>
      <c r="J47" s="9">
        <v>32</v>
      </c>
      <c r="K47" s="9">
        <v>36</v>
      </c>
      <c r="L47" s="9">
        <v>36</v>
      </c>
      <c r="M47" s="9">
        <v>30</v>
      </c>
      <c r="N47" s="9">
        <f t="shared" si="5"/>
        <v>416</v>
      </c>
    </row>
    <row r="48" spans="1:14" s="1" customFormat="1" ht="12.75" hidden="1" customHeight="1" outlineLevel="1" x14ac:dyDescent="0.2">
      <c r="A48" s="11" t="s">
        <v>7</v>
      </c>
      <c r="B48" s="9">
        <v>2142</v>
      </c>
      <c r="C48" s="9">
        <v>1836</v>
      </c>
      <c r="D48" s="9">
        <v>2048</v>
      </c>
      <c r="E48" s="9">
        <v>1798</v>
      </c>
      <c r="F48" s="9">
        <v>1624</v>
      </c>
      <c r="G48" s="9">
        <v>1536</v>
      </c>
      <c r="H48" s="9">
        <v>1510</v>
      </c>
      <c r="I48" s="9">
        <v>1515</v>
      </c>
      <c r="J48" s="9">
        <v>1493</v>
      </c>
      <c r="K48" s="9">
        <v>1573</v>
      </c>
      <c r="L48" s="9">
        <v>1609</v>
      </c>
      <c r="M48" s="9">
        <v>1297</v>
      </c>
      <c r="N48" s="9">
        <f t="shared" si="5"/>
        <v>19981</v>
      </c>
    </row>
    <row r="49" spans="1:14" s="1" customFormat="1" ht="12.75" hidden="1" customHeight="1" outlineLevel="1" x14ac:dyDescent="0.2">
      <c r="A49" s="11" t="s">
        <v>9</v>
      </c>
      <c r="B49" s="9">
        <v>2542</v>
      </c>
      <c r="C49" s="9">
        <v>2204</v>
      </c>
      <c r="D49" s="9">
        <v>2550</v>
      </c>
      <c r="E49" s="9">
        <v>2014</v>
      </c>
      <c r="F49" s="9">
        <v>1706</v>
      </c>
      <c r="G49" s="9">
        <v>1853</v>
      </c>
      <c r="H49" s="9">
        <v>1927</v>
      </c>
      <c r="I49" s="9">
        <v>1810</v>
      </c>
      <c r="J49" s="9">
        <v>1106</v>
      </c>
      <c r="K49" s="9">
        <v>1193</v>
      </c>
      <c r="L49" s="9">
        <v>1240</v>
      </c>
      <c r="M49" s="9">
        <v>1934</v>
      </c>
      <c r="N49" s="9">
        <f t="shared" si="5"/>
        <v>22079</v>
      </c>
    </row>
    <row r="50" spans="1:14" s="1" customFormat="1" ht="12.75" hidden="1" customHeight="1" outlineLevel="1" x14ac:dyDescent="0.2">
      <c r="A50" s="31" t="s">
        <v>169</v>
      </c>
      <c r="B50" s="9">
        <v>924</v>
      </c>
      <c r="C50" s="9">
        <v>718</v>
      </c>
      <c r="D50" s="9">
        <v>682</v>
      </c>
      <c r="E50" s="9">
        <v>519</v>
      </c>
      <c r="F50" s="9">
        <v>485</v>
      </c>
      <c r="G50" s="9">
        <v>421</v>
      </c>
      <c r="H50" s="9">
        <v>414</v>
      </c>
      <c r="I50" s="9">
        <v>433</v>
      </c>
      <c r="J50" s="9">
        <v>423</v>
      </c>
      <c r="K50" s="9">
        <v>469</v>
      </c>
      <c r="L50" s="9">
        <v>466</v>
      </c>
      <c r="M50" s="9">
        <v>457</v>
      </c>
      <c r="N50" s="9">
        <f t="shared" si="5"/>
        <v>6411</v>
      </c>
    </row>
    <row r="51" spans="1:14" s="1" customFormat="1" ht="12.75" hidden="1" customHeight="1" outlineLevel="1" x14ac:dyDescent="0.2">
      <c r="A51" s="11" t="s">
        <v>14</v>
      </c>
      <c r="B51" s="9">
        <v>163</v>
      </c>
      <c r="C51" s="9">
        <v>140</v>
      </c>
      <c r="D51" s="9">
        <v>150</v>
      </c>
      <c r="E51" s="9">
        <v>150</v>
      </c>
      <c r="F51" s="9">
        <v>150</v>
      </c>
      <c r="G51" s="9">
        <v>150</v>
      </c>
      <c r="H51" s="9">
        <v>158</v>
      </c>
      <c r="I51" s="9">
        <v>152</v>
      </c>
      <c r="J51" s="9">
        <v>150</v>
      </c>
      <c r="K51" s="9">
        <v>165</v>
      </c>
      <c r="L51" s="9">
        <v>144</v>
      </c>
      <c r="M51" s="9">
        <v>143</v>
      </c>
      <c r="N51" s="9">
        <f t="shared" si="5"/>
        <v>1815</v>
      </c>
    </row>
    <row r="52" spans="1:14" s="1" customFormat="1" ht="12.75" hidden="1" customHeight="1" outlineLevel="1" x14ac:dyDescent="0.2">
      <c r="A52" s="11" t="s">
        <v>13</v>
      </c>
      <c r="B52" s="9">
        <v>505</v>
      </c>
      <c r="C52" s="9">
        <v>507</v>
      </c>
      <c r="D52" s="9">
        <v>535</v>
      </c>
      <c r="E52" s="9">
        <v>417</v>
      </c>
      <c r="F52" s="9">
        <v>220</v>
      </c>
      <c r="G52" s="9">
        <v>265</v>
      </c>
      <c r="H52" s="9">
        <v>273</v>
      </c>
      <c r="I52" s="9">
        <v>216</v>
      </c>
      <c r="J52" s="9">
        <v>162</v>
      </c>
      <c r="K52" s="9">
        <v>210</v>
      </c>
      <c r="L52" s="9">
        <v>342</v>
      </c>
      <c r="M52" s="9">
        <v>366</v>
      </c>
      <c r="N52" s="9">
        <f t="shared" si="5"/>
        <v>4018</v>
      </c>
    </row>
    <row r="53" spans="1:14" s="1" customFormat="1" ht="12.75" hidden="1" customHeight="1" outlineLevel="1" x14ac:dyDescent="0.2">
      <c r="A53" s="11" t="s">
        <v>60</v>
      </c>
      <c r="B53" s="9">
        <v>38</v>
      </c>
      <c r="C53" s="9">
        <v>50</v>
      </c>
      <c r="D53" s="9">
        <v>62</v>
      </c>
      <c r="E53" s="9">
        <v>60</v>
      </c>
      <c r="F53" s="9">
        <v>62</v>
      </c>
      <c r="G53" s="9">
        <v>56</v>
      </c>
      <c r="H53" s="9">
        <v>62</v>
      </c>
      <c r="I53" s="9">
        <v>62</v>
      </c>
      <c r="J53" s="9">
        <v>34</v>
      </c>
      <c r="K53" s="9">
        <v>48</v>
      </c>
      <c r="L53" s="9">
        <v>0</v>
      </c>
      <c r="M53" s="9">
        <v>0</v>
      </c>
      <c r="N53" s="9">
        <f t="shared" si="5"/>
        <v>534</v>
      </c>
    </row>
    <row r="54" spans="1:14" ht="12.75" hidden="1" customHeight="1" outlineLevel="1" x14ac:dyDescent="0.2">
      <c r="A54" s="11" t="s">
        <v>58</v>
      </c>
      <c r="B54" s="9">
        <v>326</v>
      </c>
      <c r="C54" s="9">
        <v>296</v>
      </c>
      <c r="D54" s="9">
        <v>362</v>
      </c>
      <c r="E54" s="9">
        <v>349</v>
      </c>
      <c r="F54" s="9">
        <v>416</v>
      </c>
      <c r="G54" s="9">
        <v>363</v>
      </c>
      <c r="H54" s="9">
        <v>380</v>
      </c>
      <c r="I54" s="9">
        <v>378</v>
      </c>
      <c r="J54" s="9">
        <v>278</v>
      </c>
      <c r="K54" s="9">
        <v>424</v>
      </c>
      <c r="L54" s="9">
        <v>426</v>
      </c>
      <c r="M54" s="9">
        <v>482</v>
      </c>
      <c r="N54" s="9">
        <f t="shared" si="5"/>
        <v>4480</v>
      </c>
    </row>
    <row r="55" spans="1:14" ht="12.75" hidden="1" customHeight="1" outlineLevel="1" x14ac:dyDescent="0.2">
      <c r="A55" s="8" t="s">
        <v>59</v>
      </c>
      <c r="B55" s="9">
        <v>53</v>
      </c>
      <c r="C55" s="9">
        <v>21</v>
      </c>
      <c r="D55" s="9">
        <v>41</v>
      </c>
      <c r="E55" s="9">
        <v>76</v>
      </c>
      <c r="F55" s="9">
        <v>50</v>
      </c>
      <c r="G55" s="9">
        <v>713</v>
      </c>
      <c r="H55" s="9">
        <v>775</v>
      </c>
      <c r="I55" s="9">
        <v>741</v>
      </c>
      <c r="J55" s="9">
        <v>646</v>
      </c>
      <c r="K55" s="9">
        <v>703</v>
      </c>
      <c r="L55" s="9">
        <v>735</v>
      </c>
      <c r="M55" s="9">
        <v>665</v>
      </c>
      <c r="N55" s="9">
        <f t="shared" si="5"/>
        <v>5219</v>
      </c>
    </row>
    <row r="56" spans="1:14" ht="12.75" hidden="1" customHeight="1" outlineLevel="1" x14ac:dyDescent="0.2">
      <c r="A56" s="11" t="s">
        <v>38</v>
      </c>
      <c r="B56" s="9">
        <v>273</v>
      </c>
      <c r="C56" s="9">
        <v>391</v>
      </c>
      <c r="D56" s="9">
        <v>466</v>
      </c>
      <c r="E56" s="9">
        <v>195</v>
      </c>
      <c r="F56" s="9">
        <v>88</v>
      </c>
      <c r="G56" s="9">
        <v>170</v>
      </c>
      <c r="H56" s="9">
        <v>177</v>
      </c>
      <c r="I56" s="9">
        <v>115</v>
      </c>
      <c r="J56" s="9">
        <v>42</v>
      </c>
      <c r="K56" s="9">
        <v>85</v>
      </c>
      <c r="L56" s="9">
        <v>111</v>
      </c>
      <c r="M56" s="9">
        <v>189</v>
      </c>
      <c r="N56" s="9">
        <f t="shared" si="5"/>
        <v>2302</v>
      </c>
    </row>
    <row r="57" spans="1:14" ht="12.75" hidden="1" customHeight="1" outlineLevel="1" x14ac:dyDescent="0.2">
      <c r="A57" s="11" t="s">
        <v>88</v>
      </c>
      <c r="B57" s="9">
        <v>911</v>
      </c>
      <c r="C57" s="9">
        <v>824</v>
      </c>
      <c r="D57" s="9">
        <v>857</v>
      </c>
      <c r="E57" s="9">
        <v>873</v>
      </c>
      <c r="F57" s="9">
        <v>921</v>
      </c>
      <c r="G57" s="9">
        <v>959</v>
      </c>
      <c r="H57" s="9">
        <v>1153</v>
      </c>
      <c r="I57" s="9">
        <v>1094</v>
      </c>
      <c r="J57" s="9">
        <v>985</v>
      </c>
      <c r="K57" s="9">
        <v>1010</v>
      </c>
      <c r="L57" s="9">
        <v>991</v>
      </c>
      <c r="M57" s="9">
        <v>1433</v>
      </c>
      <c r="N57" s="9">
        <f t="shared" si="5"/>
        <v>12011</v>
      </c>
    </row>
    <row r="58" spans="1:14" ht="12.75" hidden="1" customHeight="1" outlineLevel="1" x14ac:dyDescent="0.2">
      <c r="A58" s="11" t="s">
        <v>109</v>
      </c>
      <c r="B58" s="9">
        <v>664</v>
      </c>
      <c r="C58" s="9">
        <v>584</v>
      </c>
      <c r="D58" s="9">
        <v>752</v>
      </c>
      <c r="E58" s="9">
        <v>798</v>
      </c>
      <c r="F58" s="9">
        <v>844</v>
      </c>
      <c r="G58" s="9">
        <v>954</v>
      </c>
      <c r="H58" s="9">
        <v>1032</v>
      </c>
      <c r="I58" s="9">
        <v>667</v>
      </c>
      <c r="J58" s="9">
        <v>512</v>
      </c>
      <c r="K58" s="9">
        <v>723</v>
      </c>
      <c r="L58" s="9">
        <v>1132</v>
      </c>
      <c r="M58" s="9">
        <v>1170</v>
      </c>
      <c r="N58" s="9">
        <f t="shared" si="5"/>
        <v>9832</v>
      </c>
    </row>
    <row r="59" spans="1:14" ht="12.75" hidden="1" customHeight="1" outlineLevel="1" x14ac:dyDescent="0.2">
      <c r="A59" s="11" t="s">
        <v>16</v>
      </c>
      <c r="B59" s="9">
        <v>228</v>
      </c>
      <c r="C59" s="9">
        <v>208</v>
      </c>
      <c r="D59" s="9">
        <v>230</v>
      </c>
      <c r="E59" s="9">
        <v>230</v>
      </c>
      <c r="F59" s="9">
        <v>294</v>
      </c>
      <c r="G59" s="9">
        <v>323</v>
      </c>
      <c r="H59" s="9">
        <v>370</v>
      </c>
      <c r="I59" s="9">
        <v>370</v>
      </c>
      <c r="J59" s="9">
        <v>174</v>
      </c>
      <c r="K59" s="9">
        <v>108</v>
      </c>
      <c r="L59" s="9">
        <v>194</v>
      </c>
      <c r="M59" s="9">
        <v>218</v>
      </c>
      <c r="N59" s="9">
        <f t="shared" si="5"/>
        <v>2947</v>
      </c>
    </row>
    <row r="60" spans="1:14" ht="12.75" hidden="1" customHeight="1" outlineLevel="1" x14ac:dyDescent="0.2">
      <c r="A60" s="11" t="s">
        <v>90</v>
      </c>
      <c r="B60" s="9">
        <v>2325</v>
      </c>
      <c r="C60" s="9">
        <v>2132</v>
      </c>
      <c r="D60" s="9">
        <v>2972</v>
      </c>
      <c r="E60" s="9">
        <v>2829</v>
      </c>
      <c r="F60" s="9">
        <v>2586</v>
      </c>
      <c r="G60" s="9">
        <v>2686</v>
      </c>
      <c r="H60" s="9">
        <v>2873</v>
      </c>
      <c r="I60" s="9">
        <v>2555</v>
      </c>
      <c r="J60" s="9">
        <v>1585</v>
      </c>
      <c r="K60" s="9">
        <v>2001</v>
      </c>
      <c r="L60" s="9">
        <v>2724</v>
      </c>
      <c r="M60" s="9">
        <v>3179</v>
      </c>
      <c r="N60" s="9">
        <f t="shared" si="5"/>
        <v>30447</v>
      </c>
    </row>
    <row r="61" spans="1:14" ht="12.75" hidden="1" customHeight="1" outlineLevel="1" x14ac:dyDescent="0.2">
      <c r="A61" s="11" t="s">
        <v>15</v>
      </c>
      <c r="B61" s="9">
        <v>126</v>
      </c>
      <c r="C61" s="9">
        <v>118</v>
      </c>
      <c r="D61" s="9">
        <v>128</v>
      </c>
      <c r="E61" s="9">
        <v>130</v>
      </c>
      <c r="F61" s="9">
        <v>122</v>
      </c>
      <c r="G61" s="9">
        <v>132</v>
      </c>
      <c r="H61" s="9">
        <v>136</v>
      </c>
      <c r="I61" s="9">
        <v>126</v>
      </c>
      <c r="J61" s="9">
        <v>128</v>
      </c>
      <c r="K61" s="9">
        <v>131</v>
      </c>
      <c r="L61" s="9">
        <v>120</v>
      </c>
      <c r="M61" s="9">
        <v>134</v>
      </c>
      <c r="N61" s="9">
        <f t="shared" si="5"/>
        <v>1531</v>
      </c>
    </row>
    <row r="62" spans="1:14" ht="12.75" hidden="1" customHeight="1" outlineLevel="1" x14ac:dyDescent="0.2">
      <c r="A62" s="11" t="s">
        <v>30</v>
      </c>
      <c r="B62" s="9">
        <v>1147</v>
      </c>
      <c r="C62" s="9">
        <v>1010</v>
      </c>
      <c r="D62" s="9">
        <v>1218</v>
      </c>
      <c r="E62" s="9">
        <v>1206</v>
      </c>
      <c r="F62" s="9">
        <v>1237</v>
      </c>
      <c r="G62" s="9">
        <v>1262</v>
      </c>
      <c r="H62" s="9">
        <v>1318</v>
      </c>
      <c r="I62" s="9">
        <v>1112</v>
      </c>
      <c r="J62" s="9">
        <v>598</v>
      </c>
      <c r="K62" s="9">
        <v>793</v>
      </c>
      <c r="L62" s="9">
        <v>1027</v>
      </c>
      <c r="M62" s="9">
        <v>1240</v>
      </c>
      <c r="N62" s="9">
        <f t="shared" si="5"/>
        <v>13168</v>
      </c>
    </row>
    <row r="63" spans="1:14" ht="12.75" hidden="1" customHeight="1" outlineLevel="1" thickBot="1" x14ac:dyDescent="0.25">
      <c r="A63" s="19" t="s">
        <v>73</v>
      </c>
      <c r="B63" s="9">
        <v>93</v>
      </c>
      <c r="C63" s="9">
        <v>86</v>
      </c>
      <c r="D63" s="9">
        <v>106</v>
      </c>
      <c r="E63" s="9">
        <v>124</v>
      </c>
      <c r="F63" s="9">
        <v>118</v>
      </c>
      <c r="G63" s="9">
        <v>130</v>
      </c>
      <c r="H63" s="9">
        <v>150</v>
      </c>
      <c r="I63" s="9">
        <v>124</v>
      </c>
      <c r="J63" s="9">
        <v>78</v>
      </c>
      <c r="K63" s="9">
        <v>91</v>
      </c>
      <c r="L63" s="9">
        <v>112</v>
      </c>
      <c r="M63" s="9">
        <v>124</v>
      </c>
      <c r="N63" s="9">
        <f t="shared" si="5"/>
        <v>1336</v>
      </c>
    </row>
    <row r="64" spans="1:14" collapsed="1" x14ac:dyDescent="0.2">
      <c r="A64" s="22" t="s">
        <v>55</v>
      </c>
      <c r="B64" s="33">
        <f t="shared" ref="B64:N64" si="6">SUM(B65:B69)</f>
        <v>2634</v>
      </c>
      <c r="C64" s="33">
        <f t="shared" si="6"/>
        <v>2391</v>
      </c>
      <c r="D64" s="33">
        <f t="shared" si="6"/>
        <v>2225</v>
      </c>
      <c r="E64" s="33">
        <f t="shared" si="6"/>
        <v>2198</v>
      </c>
      <c r="F64" s="33">
        <f t="shared" si="6"/>
        <v>1006</v>
      </c>
      <c r="G64" s="33">
        <f t="shared" si="6"/>
        <v>774</v>
      </c>
      <c r="H64" s="33">
        <f t="shared" si="6"/>
        <v>842</v>
      </c>
      <c r="I64" s="33">
        <f t="shared" si="6"/>
        <v>874</v>
      </c>
      <c r="J64" s="33">
        <f t="shared" si="6"/>
        <v>645</v>
      </c>
      <c r="K64" s="33">
        <f t="shared" si="6"/>
        <v>860</v>
      </c>
      <c r="L64" s="33">
        <f t="shared" si="6"/>
        <v>1724</v>
      </c>
      <c r="M64" s="33">
        <f t="shared" si="6"/>
        <v>2086</v>
      </c>
      <c r="N64" s="33">
        <f t="shared" si="6"/>
        <v>18259</v>
      </c>
    </row>
    <row r="65" spans="1:14" ht="12.75" hidden="1" customHeight="1" outlineLevel="1" x14ac:dyDescent="0.2">
      <c r="A65" s="11" t="s">
        <v>12</v>
      </c>
      <c r="B65" s="9">
        <v>587</v>
      </c>
      <c r="C65" s="9">
        <v>536</v>
      </c>
      <c r="D65" s="9">
        <v>624</v>
      </c>
      <c r="E65" s="9">
        <v>459</v>
      </c>
      <c r="F65" s="9">
        <v>344</v>
      </c>
      <c r="G65" s="9">
        <v>346</v>
      </c>
      <c r="H65" s="9">
        <v>378</v>
      </c>
      <c r="I65" s="9">
        <v>378</v>
      </c>
      <c r="J65" s="9">
        <v>243</v>
      </c>
      <c r="K65" s="9">
        <v>252</v>
      </c>
      <c r="L65" s="9">
        <v>346</v>
      </c>
      <c r="M65" s="9">
        <v>439</v>
      </c>
      <c r="N65" s="9">
        <f>SUM(B65:M65)</f>
        <v>4932</v>
      </c>
    </row>
    <row r="66" spans="1:14" ht="12.75" hidden="1" customHeight="1" outlineLevel="1" x14ac:dyDescent="0.2">
      <c r="A66" s="11" t="s">
        <v>68</v>
      </c>
      <c r="B66" s="9">
        <v>310</v>
      </c>
      <c r="C66" s="9">
        <v>273</v>
      </c>
      <c r="D66" s="9">
        <v>305</v>
      </c>
      <c r="E66" s="9">
        <v>249</v>
      </c>
      <c r="F66" s="9">
        <v>59</v>
      </c>
      <c r="G66" s="9">
        <v>30</v>
      </c>
      <c r="H66" s="9">
        <v>42</v>
      </c>
      <c r="I66" s="9">
        <v>44</v>
      </c>
      <c r="J66" s="9">
        <v>24</v>
      </c>
      <c r="K66" s="9">
        <v>27</v>
      </c>
      <c r="L66" s="9">
        <v>161</v>
      </c>
      <c r="M66" s="9">
        <v>213</v>
      </c>
      <c r="N66" s="9">
        <f>SUM(B66:M66)</f>
        <v>1737</v>
      </c>
    </row>
    <row r="67" spans="1:14" ht="12.75" hidden="1" customHeight="1" outlineLevel="1" x14ac:dyDescent="0.2">
      <c r="A67" s="11" t="s">
        <v>179</v>
      </c>
      <c r="B67" s="9">
        <v>0</v>
      </c>
      <c r="C67" s="9">
        <v>0</v>
      </c>
      <c r="D67" s="9">
        <v>0</v>
      </c>
      <c r="E67" s="9">
        <v>60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f>SUM(B67:M67)</f>
        <v>60</v>
      </c>
    </row>
    <row r="68" spans="1:14" ht="12.75" hidden="1" customHeight="1" outlineLevel="1" x14ac:dyDescent="0.2">
      <c r="A68" s="11" t="s">
        <v>69</v>
      </c>
      <c r="B68" s="9">
        <v>758</v>
      </c>
      <c r="C68" s="9">
        <v>647</v>
      </c>
      <c r="D68" s="9">
        <v>633</v>
      </c>
      <c r="E68" s="9">
        <v>460</v>
      </c>
      <c r="F68" s="9">
        <v>265</v>
      </c>
      <c r="G68" s="9">
        <v>164</v>
      </c>
      <c r="H68" s="9">
        <v>172</v>
      </c>
      <c r="I68" s="9">
        <v>186</v>
      </c>
      <c r="J68" s="9">
        <v>150</v>
      </c>
      <c r="K68" s="9">
        <v>174</v>
      </c>
      <c r="L68" s="9">
        <v>399</v>
      </c>
      <c r="M68" s="9">
        <v>415</v>
      </c>
      <c r="N68" s="9">
        <f>SUM(B68:M68)</f>
        <v>4423</v>
      </c>
    </row>
    <row r="69" spans="1:14" ht="12.75" hidden="1" customHeight="1" outlineLevel="1" thickBot="1" x14ac:dyDescent="0.25">
      <c r="A69" s="13" t="s">
        <v>37</v>
      </c>
      <c r="B69" s="9">
        <v>979</v>
      </c>
      <c r="C69" s="9">
        <v>935</v>
      </c>
      <c r="D69" s="9">
        <v>663</v>
      </c>
      <c r="E69" s="9">
        <v>970</v>
      </c>
      <c r="F69" s="9">
        <v>338</v>
      </c>
      <c r="G69" s="9">
        <v>234</v>
      </c>
      <c r="H69" s="9">
        <v>250</v>
      </c>
      <c r="I69" s="9">
        <v>266</v>
      </c>
      <c r="J69" s="9">
        <v>228</v>
      </c>
      <c r="K69" s="9">
        <v>407</v>
      </c>
      <c r="L69" s="9">
        <v>818</v>
      </c>
      <c r="M69" s="9">
        <v>1019</v>
      </c>
      <c r="N69" s="9">
        <f>SUM(B69:M69)</f>
        <v>7107</v>
      </c>
    </row>
    <row r="70" spans="1:14" ht="25.5" collapsed="1" x14ac:dyDescent="0.2">
      <c r="A70" s="22" t="s">
        <v>128</v>
      </c>
      <c r="B70" s="33">
        <f t="shared" ref="B70:N70" si="7">SUM(B71:B85)</f>
        <v>2152</v>
      </c>
      <c r="C70" s="33">
        <f t="shared" si="7"/>
        <v>1900</v>
      </c>
      <c r="D70" s="33">
        <f t="shared" si="7"/>
        <v>2059</v>
      </c>
      <c r="E70" s="33">
        <f t="shared" si="7"/>
        <v>1942</v>
      </c>
      <c r="F70" s="33">
        <f t="shared" si="7"/>
        <v>2039</v>
      </c>
      <c r="G70" s="33">
        <f t="shared" si="7"/>
        <v>2017</v>
      </c>
      <c r="H70" s="33">
        <f t="shared" si="7"/>
        <v>2065</v>
      </c>
      <c r="I70" s="33">
        <f t="shared" si="7"/>
        <v>2160</v>
      </c>
      <c r="J70" s="33">
        <f t="shared" si="7"/>
        <v>2036</v>
      </c>
      <c r="K70" s="33">
        <f t="shared" si="7"/>
        <v>2503</v>
      </c>
      <c r="L70" s="33">
        <f t="shared" si="7"/>
        <v>2153</v>
      </c>
      <c r="M70" s="33">
        <f t="shared" si="7"/>
        <v>2219</v>
      </c>
      <c r="N70" s="33">
        <f t="shared" si="7"/>
        <v>25245</v>
      </c>
    </row>
    <row r="71" spans="1:14" hidden="1" outlineLevel="1" x14ac:dyDescent="0.2">
      <c r="A71" s="12" t="s">
        <v>94</v>
      </c>
      <c r="B71" s="9">
        <v>32</v>
      </c>
      <c r="C71" s="9">
        <v>32</v>
      </c>
      <c r="D71" s="9">
        <v>36</v>
      </c>
      <c r="E71" s="9">
        <v>42</v>
      </c>
      <c r="F71" s="9">
        <v>44</v>
      </c>
      <c r="G71" s="9">
        <v>44</v>
      </c>
      <c r="H71" s="9">
        <v>44</v>
      </c>
      <c r="I71" s="9">
        <v>38</v>
      </c>
      <c r="J71" s="9">
        <v>40</v>
      </c>
      <c r="K71" s="9">
        <v>38</v>
      </c>
      <c r="L71" s="9">
        <v>34</v>
      </c>
      <c r="M71" s="9">
        <v>32</v>
      </c>
      <c r="N71" s="9">
        <f t="shared" ref="N71:N85" si="8">SUM(B71:M71)</f>
        <v>456</v>
      </c>
    </row>
    <row r="72" spans="1:14" hidden="1" outlineLevel="1" x14ac:dyDescent="0.2">
      <c r="A72" s="11" t="s">
        <v>76</v>
      </c>
      <c r="B72" s="9">
        <v>124</v>
      </c>
      <c r="C72" s="9">
        <v>110</v>
      </c>
      <c r="D72" s="9">
        <v>124</v>
      </c>
      <c r="E72" s="9">
        <v>60</v>
      </c>
      <c r="F72" s="9">
        <v>124</v>
      </c>
      <c r="G72" s="9">
        <v>120</v>
      </c>
      <c r="H72" s="9">
        <v>62</v>
      </c>
      <c r="I72" s="9">
        <v>104</v>
      </c>
      <c r="J72" s="9">
        <v>117</v>
      </c>
      <c r="K72" s="9">
        <v>124</v>
      </c>
      <c r="L72" s="9">
        <v>118</v>
      </c>
      <c r="M72" s="9">
        <v>124</v>
      </c>
      <c r="N72" s="9">
        <f t="shared" si="8"/>
        <v>1311</v>
      </c>
    </row>
    <row r="73" spans="1:14" hidden="1" outlineLevel="1" x14ac:dyDescent="0.2">
      <c r="A73" s="16" t="s">
        <v>34</v>
      </c>
      <c r="B73" s="9">
        <v>315</v>
      </c>
      <c r="C73" s="9">
        <v>279</v>
      </c>
      <c r="D73" s="9">
        <v>310</v>
      </c>
      <c r="E73" s="9">
        <v>300</v>
      </c>
      <c r="F73" s="9">
        <v>310</v>
      </c>
      <c r="G73" s="9">
        <v>300</v>
      </c>
      <c r="H73" s="9">
        <v>293</v>
      </c>
      <c r="I73" s="9">
        <v>310</v>
      </c>
      <c r="J73" s="9">
        <v>300</v>
      </c>
      <c r="K73" s="9">
        <v>313</v>
      </c>
      <c r="L73" s="9">
        <v>300</v>
      </c>
      <c r="M73" s="9">
        <v>309</v>
      </c>
      <c r="N73" s="9">
        <f t="shared" si="8"/>
        <v>3639</v>
      </c>
    </row>
    <row r="74" spans="1:14" hidden="1" outlineLevel="1" x14ac:dyDescent="0.2">
      <c r="A74" s="16" t="s">
        <v>31</v>
      </c>
      <c r="B74" s="9">
        <v>761</v>
      </c>
      <c r="C74" s="9">
        <v>694</v>
      </c>
      <c r="D74" s="9">
        <v>738</v>
      </c>
      <c r="E74" s="9">
        <v>712</v>
      </c>
      <c r="F74" s="9">
        <v>717</v>
      </c>
      <c r="G74" s="9">
        <v>752</v>
      </c>
      <c r="H74" s="9">
        <v>782</v>
      </c>
      <c r="I74" s="9">
        <v>830</v>
      </c>
      <c r="J74" s="9">
        <v>726</v>
      </c>
      <c r="K74" s="9">
        <v>1124</v>
      </c>
      <c r="L74" s="9">
        <v>820</v>
      </c>
      <c r="M74" s="9">
        <v>824</v>
      </c>
      <c r="N74" s="9">
        <f t="shared" si="8"/>
        <v>9480</v>
      </c>
    </row>
    <row r="75" spans="1:14" hidden="1" outlineLevel="1" x14ac:dyDescent="0.2">
      <c r="A75" s="19" t="s">
        <v>33</v>
      </c>
      <c r="B75" s="9">
        <v>116</v>
      </c>
      <c r="C75" s="9">
        <v>108</v>
      </c>
      <c r="D75" s="9">
        <v>118</v>
      </c>
      <c r="E75" s="9">
        <v>120</v>
      </c>
      <c r="F75" s="9">
        <v>118</v>
      </c>
      <c r="G75" s="9">
        <v>110</v>
      </c>
      <c r="H75" s="9">
        <v>124</v>
      </c>
      <c r="I75" s="9">
        <v>120</v>
      </c>
      <c r="J75" s="9">
        <v>120</v>
      </c>
      <c r="K75" s="9">
        <v>116</v>
      </c>
      <c r="L75" s="9">
        <v>112</v>
      </c>
      <c r="M75" s="9">
        <v>124</v>
      </c>
      <c r="N75" s="9">
        <f t="shared" si="8"/>
        <v>1406</v>
      </c>
    </row>
    <row r="76" spans="1:14" hidden="1" outlineLevel="1" x14ac:dyDescent="0.2">
      <c r="A76" s="16" t="s">
        <v>63</v>
      </c>
      <c r="B76" s="9">
        <v>32</v>
      </c>
      <c r="C76" s="9">
        <v>30</v>
      </c>
      <c r="D76" s="9">
        <v>34</v>
      </c>
      <c r="E76" s="9">
        <v>32</v>
      </c>
      <c r="F76" s="9">
        <v>38</v>
      </c>
      <c r="G76" s="9">
        <v>30</v>
      </c>
      <c r="H76" s="9">
        <v>36</v>
      </c>
      <c r="I76" s="9">
        <v>32</v>
      </c>
      <c r="J76" s="9">
        <v>34</v>
      </c>
      <c r="K76" s="9">
        <v>38</v>
      </c>
      <c r="L76" s="9">
        <v>34</v>
      </c>
      <c r="M76" s="9">
        <v>34</v>
      </c>
      <c r="N76" s="9">
        <f t="shared" si="8"/>
        <v>404</v>
      </c>
    </row>
    <row r="77" spans="1:14" hidden="1" outlineLevel="1" x14ac:dyDescent="0.2">
      <c r="A77" s="16" t="s">
        <v>32</v>
      </c>
      <c r="B77" s="9">
        <v>120</v>
      </c>
      <c r="C77" s="9">
        <v>57</v>
      </c>
      <c r="D77" s="9">
        <v>62</v>
      </c>
      <c r="E77" s="9">
        <v>63</v>
      </c>
      <c r="F77" s="9">
        <v>62</v>
      </c>
      <c r="G77" s="9">
        <v>60</v>
      </c>
      <c r="H77" s="9">
        <v>62</v>
      </c>
      <c r="I77" s="9">
        <v>62</v>
      </c>
      <c r="J77" s="9">
        <v>60</v>
      </c>
      <c r="K77" s="9">
        <v>62</v>
      </c>
      <c r="L77" s="9">
        <v>60</v>
      </c>
      <c r="M77" s="9">
        <v>63</v>
      </c>
      <c r="N77" s="9">
        <f t="shared" si="8"/>
        <v>793</v>
      </c>
    </row>
    <row r="78" spans="1:14" hidden="1" outlineLevel="1" x14ac:dyDescent="0.2">
      <c r="A78" s="16" t="s">
        <v>62</v>
      </c>
      <c r="B78" s="9">
        <v>88</v>
      </c>
      <c r="C78" s="9">
        <v>79</v>
      </c>
      <c r="D78" s="9">
        <v>71</v>
      </c>
      <c r="E78" s="9">
        <v>68</v>
      </c>
      <c r="F78" s="9">
        <v>72</v>
      </c>
      <c r="G78" s="9">
        <v>74</v>
      </c>
      <c r="H78" s="9">
        <v>78</v>
      </c>
      <c r="I78" s="9">
        <v>71</v>
      </c>
      <c r="J78" s="9">
        <v>68</v>
      </c>
      <c r="K78" s="9">
        <v>72</v>
      </c>
      <c r="L78" s="9">
        <v>68</v>
      </c>
      <c r="M78" s="9">
        <v>70</v>
      </c>
      <c r="N78" s="9">
        <f t="shared" si="8"/>
        <v>879</v>
      </c>
    </row>
    <row r="79" spans="1:14" hidden="1" outlineLevel="1" x14ac:dyDescent="0.2">
      <c r="A79" s="34" t="s">
        <v>112</v>
      </c>
      <c r="B79" s="9">
        <v>62</v>
      </c>
      <c r="C79" s="9">
        <v>56</v>
      </c>
      <c r="D79" s="9">
        <v>62</v>
      </c>
      <c r="E79" s="9">
        <v>60</v>
      </c>
      <c r="F79" s="9">
        <v>62</v>
      </c>
      <c r="G79" s="9">
        <v>60</v>
      </c>
      <c r="H79" s="9">
        <v>62</v>
      </c>
      <c r="I79" s="9">
        <v>62</v>
      </c>
      <c r="J79" s="9">
        <v>60</v>
      </c>
      <c r="K79" s="9">
        <v>62</v>
      </c>
      <c r="L79" s="9">
        <v>60</v>
      </c>
      <c r="M79" s="9">
        <v>60</v>
      </c>
      <c r="N79" s="9">
        <f t="shared" si="8"/>
        <v>728</v>
      </c>
    </row>
    <row r="80" spans="1:14" ht="12" hidden="1" customHeight="1" outlineLevel="1" x14ac:dyDescent="0.2">
      <c r="A80" s="16" t="s">
        <v>19</v>
      </c>
      <c r="B80" s="9">
        <v>136</v>
      </c>
      <c r="C80" s="9">
        <v>144</v>
      </c>
      <c r="D80" s="9">
        <v>158</v>
      </c>
      <c r="E80" s="9">
        <v>144</v>
      </c>
      <c r="F80" s="9">
        <v>148</v>
      </c>
      <c r="G80" s="9">
        <v>144</v>
      </c>
      <c r="H80" s="9">
        <v>152</v>
      </c>
      <c r="I80" s="9">
        <v>156</v>
      </c>
      <c r="J80" s="9">
        <v>144</v>
      </c>
      <c r="K80" s="9">
        <v>150</v>
      </c>
      <c r="L80" s="9">
        <v>150</v>
      </c>
      <c r="M80" s="9">
        <v>158</v>
      </c>
      <c r="N80" s="9">
        <f t="shared" si="8"/>
        <v>1784</v>
      </c>
    </row>
    <row r="81" spans="1:14" hidden="1" outlineLevel="1" x14ac:dyDescent="0.2">
      <c r="A81" s="16" t="s">
        <v>36</v>
      </c>
      <c r="B81" s="9">
        <v>122</v>
      </c>
      <c r="C81" s="9">
        <v>112</v>
      </c>
      <c r="D81" s="9">
        <v>124</v>
      </c>
      <c r="E81" s="9">
        <v>119</v>
      </c>
      <c r="F81" s="9">
        <v>124</v>
      </c>
      <c r="G81" s="9">
        <v>115</v>
      </c>
      <c r="H81" s="9">
        <v>122</v>
      </c>
      <c r="I81" s="9">
        <v>120</v>
      </c>
      <c r="J81" s="9">
        <v>108</v>
      </c>
      <c r="K81" s="9">
        <v>124</v>
      </c>
      <c r="L81" s="9">
        <v>120</v>
      </c>
      <c r="M81" s="9">
        <v>123</v>
      </c>
      <c r="N81" s="9">
        <f t="shared" si="8"/>
        <v>1433</v>
      </c>
    </row>
    <row r="82" spans="1:14" hidden="1" outlineLevel="1" x14ac:dyDescent="0.2">
      <c r="A82" s="16" t="s">
        <v>51</v>
      </c>
      <c r="B82" s="9">
        <v>62</v>
      </c>
      <c r="C82" s="9">
        <v>56</v>
      </c>
      <c r="D82" s="9">
        <v>62</v>
      </c>
      <c r="E82" s="9">
        <v>60</v>
      </c>
      <c r="F82" s="9">
        <v>60</v>
      </c>
      <c r="G82" s="9">
        <v>59</v>
      </c>
      <c r="H82" s="9">
        <v>68</v>
      </c>
      <c r="I82" s="9">
        <v>88</v>
      </c>
      <c r="J82" s="9">
        <v>86</v>
      </c>
      <c r="K82" s="9">
        <v>88</v>
      </c>
      <c r="L82" s="9">
        <v>85</v>
      </c>
      <c r="M82" s="9">
        <v>90</v>
      </c>
      <c r="N82" s="9">
        <f t="shared" si="8"/>
        <v>864</v>
      </c>
    </row>
    <row r="83" spans="1:14" hidden="1" outlineLevel="1" x14ac:dyDescent="0.2">
      <c r="A83" s="17" t="s">
        <v>79</v>
      </c>
      <c r="B83" s="9">
        <v>71</v>
      </c>
      <c r="C83" s="9">
        <v>64</v>
      </c>
      <c r="D83" s="9">
        <v>70</v>
      </c>
      <c r="E83" s="9">
        <v>68</v>
      </c>
      <c r="F83" s="9">
        <v>70</v>
      </c>
      <c r="G83" s="9">
        <v>68</v>
      </c>
      <c r="H83" s="9">
        <v>86</v>
      </c>
      <c r="I83" s="9">
        <v>68</v>
      </c>
      <c r="J83" s="9">
        <v>86</v>
      </c>
      <c r="K83" s="9">
        <v>88</v>
      </c>
      <c r="L83" s="9">
        <v>76</v>
      </c>
      <c r="M83" s="9">
        <v>86</v>
      </c>
      <c r="N83" s="9">
        <f t="shared" si="8"/>
        <v>901</v>
      </c>
    </row>
    <row r="84" spans="1:14" hidden="1" outlineLevel="1" x14ac:dyDescent="0.2">
      <c r="A84" s="16" t="s">
        <v>40</v>
      </c>
      <c r="B84" s="9">
        <v>8</v>
      </c>
      <c r="C84" s="9">
        <v>8</v>
      </c>
      <c r="D84" s="9">
        <v>10</v>
      </c>
      <c r="E84" s="9">
        <v>0</v>
      </c>
      <c r="F84" s="9">
        <v>5</v>
      </c>
      <c r="G84" s="9">
        <v>0</v>
      </c>
      <c r="H84" s="9">
        <v>8</v>
      </c>
      <c r="I84" s="9">
        <v>10</v>
      </c>
      <c r="J84" s="9">
        <v>2</v>
      </c>
      <c r="K84" s="9">
        <v>12</v>
      </c>
      <c r="L84" s="9">
        <v>8</v>
      </c>
      <c r="M84" s="9">
        <v>0</v>
      </c>
      <c r="N84" s="9">
        <f t="shared" si="8"/>
        <v>71</v>
      </c>
    </row>
    <row r="85" spans="1:14" hidden="1" outlineLevel="1" x14ac:dyDescent="0.2">
      <c r="A85" s="17" t="s">
        <v>89</v>
      </c>
      <c r="B85" s="9">
        <v>103</v>
      </c>
      <c r="C85" s="9">
        <v>71</v>
      </c>
      <c r="D85" s="9">
        <v>80</v>
      </c>
      <c r="E85" s="9">
        <v>94</v>
      </c>
      <c r="F85" s="9">
        <v>85</v>
      </c>
      <c r="G85" s="9">
        <v>81</v>
      </c>
      <c r="H85" s="9">
        <v>86</v>
      </c>
      <c r="I85" s="9">
        <v>89</v>
      </c>
      <c r="J85" s="9">
        <v>85</v>
      </c>
      <c r="K85" s="9">
        <v>92</v>
      </c>
      <c r="L85" s="9">
        <v>108</v>
      </c>
      <c r="M85" s="9">
        <v>122</v>
      </c>
      <c r="N85" s="9">
        <f t="shared" si="8"/>
        <v>1096</v>
      </c>
    </row>
    <row r="86" spans="1:14" collapsed="1" x14ac:dyDescent="0.2">
      <c r="A86" s="22" t="s">
        <v>54</v>
      </c>
      <c r="B86" s="33">
        <f t="shared" ref="B86:N86" si="9">SUM(B87:B108)</f>
        <v>833</v>
      </c>
      <c r="C86" s="33">
        <f t="shared" si="9"/>
        <v>713</v>
      </c>
      <c r="D86" s="33">
        <f t="shared" si="9"/>
        <v>829</v>
      </c>
      <c r="E86" s="33">
        <f t="shared" si="9"/>
        <v>783</v>
      </c>
      <c r="F86" s="33">
        <f t="shared" si="9"/>
        <v>828</v>
      </c>
      <c r="G86" s="33">
        <f t="shared" si="9"/>
        <v>833</v>
      </c>
      <c r="H86" s="33">
        <f t="shared" si="9"/>
        <v>921</v>
      </c>
      <c r="I86" s="33">
        <f t="shared" si="9"/>
        <v>949</v>
      </c>
      <c r="J86" s="33">
        <f t="shared" si="9"/>
        <v>840</v>
      </c>
      <c r="K86" s="33">
        <f t="shared" si="9"/>
        <v>830</v>
      </c>
      <c r="L86" s="33">
        <f t="shared" si="9"/>
        <v>801</v>
      </c>
      <c r="M86" s="33">
        <f t="shared" si="9"/>
        <v>789</v>
      </c>
      <c r="N86" s="33">
        <f t="shared" si="9"/>
        <v>9949</v>
      </c>
    </row>
    <row r="87" spans="1:14" hidden="1" outlineLevel="1" x14ac:dyDescent="0.2">
      <c r="A87" s="11" t="s">
        <v>67</v>
      </c>
      <c r="B87" s="9">
        <v>26</v>
      </c>
      <c r="C87" s="9">
        <v>24</v>
      </c>
      <c r="D87" s="9">
        <v>26</v>
      </c>
      <c r="E87" s="9">
        <v>26</v>
      </c>
      <c r="F87" s="9">
        <v>18</v>
      </c>
      <c r="G87" s="9">
        <v>18</v>
      </c>
      <c r="H87" s="9">
        <v>16</v>
      </c>
      <c r="I87" s="9">
        <v>20</v>
      </c>
      <c r="J87" s="9">
        <v>16</v>
      </c>
      <c r="K87" s="9">
        <v>18</v>
      </c>
      <c r="L87" s="9">
        <v>26</v>
      </c>
      <c r="M87" s="9">
        <v>26</v>
      </c>
      <c r="N87" s="9">
        <f t="shared" ref="N87:N108" si="10">SUM(B87:M87)</f>
        <v>260</v>
      </c>
    </row>
    <row r="88" spans="1:14" hidden="1" outlineLevel="1" x14ac:dyDescent="0.2">
      <c r="A88" s="11" t="s">
        <v>39</v>
      </c>
      <c r="B88" s="9">
        <v>26</v>
      </c>
      <c r="C88" s="9">
        <v>24</v>
      </c>
      <c r="D88" s="9">
        <v>28</v>
      </c>
      <c r="E88" s="9">
        <v>24</v>
      </c>
      <c r="F88" s="9">
        <v>28</v>
      </c>
      <c r="G88" s="9">
        <v>28</v>
      </c>
      <c r="H88" s="9">
        <v>52</v>
      </c>
      <c r="I88" s="9">
        <v>54</v>
      </c>
      <c r="J88" s="9">
        <v>42</v>
      </c>
      <c r="K88" s="9">
        <v>30</v>
      </c>
      <c r="L88" s="9">
        <v>28</v>
      </c>
      <c r="M88" s="9">
        <v>24</v>
      </c>
      <c r="N88" s="9">
        <f t="shared" si="10"/>
        <v>388</v>
      </c>
    </row>
    <row r="89" spans="1:14" hidden="1" outlineLevel="1" x14ac:dyDescent="0.2">
      <c r="A89" s="11" t="s">
        <v>65</v>
      </c>
      <c r="B89" s="9">
        <v>136</v>
      </c>
      <c r="C89" s="9">
        <v>100</v>
      </c>
      <c r="D89" s="9">
        <v>115</v>
      </c>
      <c r="E89" s="9">
        <v>83</v>
      </c>
      <c r="F89" s="9">
        <v>91</v>
      </c>
      <c r="G89" s="9">
        <v>92</v>
      </c>
      <c r="H89" s="9">
        <v>89</v>
      </c>
      <c r="I89" s="9">
        <v>91</v>
      </c>
      <c r="J89" s="9">
        <v>87</v>
      </c>
      <c r="K89" s="9">
        <v>94</v>
      </c>
      <c r="L89" s="9">
        <v>90</v>
      </c>
      <c r="M89" s="9">
        <v>89</v>
      </c>
      <c r="N89" s="9">
        <f t="shared" si="10"/>
        <v>1157</v>
      </c>
    </row>
    <row r="90" spans="1:14" hidden="1" outlineLevel="1" x14ac:dyDescent="0.2">
      <c r="A90" s="12" t="s">
        <v>56</v>
      </c>
      <c r="B90" s="9">
        <v>16</v>
      </c>
      <c r="C90" s="9">
        <v>4</v>
      </c>
      <c r="D90" s="9">
        <v>22</v>
      </c>
      <c r="E90" s="9">
        <v>16</v>
      </c>
      <c r="F90" s="9">
        <v>22</v>
      </c>
      <c r="G90" s="9">
        <v>22</v>
      </c>
      <c r="H90" s="9">
        <v>18</v>
      </c>
      <c r="I90" s="9">
        <v>28</v>
      </c>
      <c r="J90" s="9">
        <v>16</v>
      </c>
      <c r="K90" s="9">
        <v>16</v>
      </c>
      <c r="L90" s="9">
        <v>20</v>
      </c>
      <c r="M90" s="9">
        <v>24</v>
      </c>
      <c r="N90" s="9">
        <f t="shared" si="10"/>
        <v>224</v>
      </c>
    </row>
    <row r="91" spans="1:14" hidden="1" outlineLevel="1" x14ac:dyDescent="0.2">
      <c r="A91" s="11" t="s">
        <v>20</v>
      </c>
      <c r="B91" s="9">
        <v>70</v>
      </c>
      <c r="C91" s="9">
        <v>64</v>
      </c>
      <c r="D91" s="9">
        <v>72</v>
      </c>
      <c r="E91" s="9">
        <v>76</v>
      </c>
      <c r="F91" s="9">
        <v>80</v>
      </c>
      <c r="G91" s="9">
        <v>86</v>
      </c>
      <c r="H91" s="9">
        <v>88</v>
      </c>
      <c r="I91" s="9">
        <v>90</v>
      </c>
      <c r="J91" s="9">
        <v>85</v>
      </c>
      <c r="K91" s="9">
        <v>83</v>
      </c>
      <c r="L91" s="9">
        <v>70</v>
      </c>
      <c r="M91" s="9">
        <v>66</v>
      </c>
      <c r="N91" s="9">
        <f t="shared" si="10"/>
        <v>930</v>
      </c>
    </row>
    <row r="92" spans="1:14" hidden="1" outlineLevel="1" x14ac:dyDescent="0.2">
      <c r="A92" s="11" t="s">
        <v>18</v>
      </c>
      <c r="B92" s="9">
        <v>47</v>
      </c>
      <c r="C92" s="9">
        <v>48</v>
      </c>
      <c r="D92" s="9">
        <v>57</v>
      </c>
      <c r="E92" s="9">
        <v>56</v>
      </c>
      <c r="F92" s="9">
        <v>59</v>
      </c>
      <c r="G92" s="9">
        <v>53</v>
      </c>
      <c r="H92" s="9">
        <v>57</v>
      </c>
      <c r="I92" s="9">
        <v>62</v>
      </c>
      <c r="J92" s="9">
        <v>56</v>
      </c>
      <c r="K92" s="9">
        <v>61</v>
      </c>
      <c r="L92" s="9">
        <v>66</v>
      </c>
      <c r="M92" s="9">
        <v>55</v>
      </c>
      <c r="N92" s="9">
        <f t="shared" si="10"/>
        <v>677</v>
      </c>
    </row>
    <row r="93" spans="1:14" hidden="1" outlineLevel="1" x14ac:dyDescent="0.2">
      <c r="A93" s="11" t="s">
        <v>95</v>
      </c>
      <c r="B93" s="9">
        <v>4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f>SUM(B93:M93)</f>
        <v>4</v>
      </c>
    </row>
    <row r="94" spans="1:14" hidden="1" outlineLevel="1" x14ac:dyDescent="0.2">
      <c r="A94" s="11" t="s">
        <v>106</v>
      </c>
      <c r="B94" s="9">
        <v>12</v>
      </c>
      <c r="C94" s="9">
        <v>14</v>
      </c>
      <c r="D94" s="9">
        <v>18</v>
      </c>
      <c r="E94" s="9">
        <v>16</v>
      </c>
      <c r="F94" s="9">
        <v>18</v>
      </c>
      <c r="G94" s="9">
        <v>18</v>
      </c>
      <c r="H94" s="9">
        <v>36</v>
      </c>
      <c r="I94" s="9">
        <v>36</v>
      </c>
      <c r="J94" s="9">
        <v>32</v>
      </c>
      <c r="K94" s="9">
        <v>18</v>
      </c>
      <c r="L94" s="9">
        <v>18</v>
      </c>
      <c r="M94" s="9">
        <v>16</v>
      </c>
      <c r="N94" s="9">
        <f t="shared" si="10"/>
        <v>252</v>
      </c>
    </row>
    <row r="95" spans="1:14" hidden="1" outlineLevel="1" x14ac:dyDescent="0.2">
      <c r="A95" s="11" t="s">
        <v>64</v>
      </c>
      <c r="B95" s="9">
        <v>105</v>
      </c>
      <c r="C95" s="9">
        <v>96</v>
      </c>
      <c r="D95" s="9">
        <v>108</v>
      </c>
      <c r="E95" s="9">
        <v>120</v>
      </c>
      <c r="F95" s="9">
        <v>124</v>
      </c>
      <c r="G95" s="9">
        <v>120</v>
      </c>
      <c r="H95" s="9">
        <v>124</v>
      </c>
      <c r="I95" s="9">
        <v>124</v>
      </c>
      <c r="J95" s="9">
        <v>120</v>
      </c>
      <c r="K95" s="9">
        <v>122</v>
      </c>
      <c r="L95" s="9">
        <v>112</v>
      </c>
      <c r="M95" s="9">
        <v>121</v>
      </c>
      <c r="N95" s="9">
        <f t="shared" si="10"/>
        <v>1396</v>
      </c>
    </row>
    <row r="96" spans="1:14" hidden="1" outlineLevel="1" x14ac:dyDescent="0.2">
      <c r="A96" s="11" t="s">
        <v>35</v>
      </c>
      <c r="B96" s="9">
        <v>68</v>
      </c>
      <c r="C96" s="9">
        <v>56</v>
      </c>
      <c r="D96" s="9">
        <v>62</v>
      </c>
      <c r="E96" s="9">
        <v>60</v>
      </c>
      <c r="F96" s="9">
        <v>62</v>
      </c>
      <c r="G96" s="9">
        <v>64</v>
      </c>
      <c r="H96" s="9">
        <v>80</v>
      </c>
      <c r="I96" s="9">
        <v>80</v>
      </c>
      <c r="J96" s="9">
        <v>68</v>
      </c>
      <c r="K96" s="9">
        <v>66</v>
      </c>
      <c r="L96" s="9">
        <v>68</v>
      </c>
      <c r="M96" s="9">
        <v>70</v>
      </c>
      <c r="N96" s="9">
        <f t="shared" si="10"/>
        <v>804</v>
      </c>
    </row>
    <row r="97" spans="1:14" hidden="1" outlineLevel="1" x14ac:dyDescent="0.2">
      <c r="A97" s="11" t="s">
        <v>66</v>
      </c>
      <c r="B97" s="9">
        <v>104</v>
      </c>
      <c r="C97" s="9">
        <v>88</v>
      </c>
      <c r="D97" s="9">
        <v>102</v>
      </c>
      <c r="E97" s="9">
        <v>100</v>
      </c>
      <c r="F97" s="9">
        <v>108</v>
      </c>
      <c r="G97" s="9">
        <v>102</v>
      </c>
      <c r="H97" s="9">
        <v>106</v>
      </c>
      <c r="I97" s="9">
        <v>108</v>
      </c>
      <c r="J97" s="9">
        <v>100</v>
      </c>
      <c r="K97" s="9">
        <v>106</v>
      </c>
      <c r="L97" s="9">
        <v>88</v>
      </c>
      <c r="M97" s="9">
        <v>98</v>
      </c>
      <c r="N97" s="9">
        <f t="shared" si="10"/>
        <v>1210</v>
      </c>
    </row>
    <row r="98" spans="1:14" hidden="1" outlineLevel="1" x14ac:dyDescent="0.2">
      <c r="A98" s="7" t="s">
        <v>99</v>
      </c>
      <c r="B98" s="9">
        <v>31</v>
      </c>
      <c r="C98" s="9">
        <v>31</v>
      </c>
      <c r="D98" s="9">
        <v>37</v>
      </c>
      <c r="E98" s="9">
        <v>34</v>
      </c>
      <c r="F98" s="9">
        <v>38</v>
      </c>
      <c r="G98" s="9">
        <v>34</v>
      </c>
      <c r="H98" s="9">
        <v>37</v>
      </c>
      <c r="I98" s="9">
        <v>38</v>
      </c>
      <c r="J98" s="9">
        <v>42</v>
      </c>
      <c r="K98" s="9">
        <v>38</v>
      </c>
      <c r="L98" s="9">
        <v>41</v>
      </c>
      <c r="M98" s="9">
        <v>32</v>
      </c>
      <c r="N98" s="9">
        <f t="shared" si="10"/>
        <v>433</v>
      </c>
    </row>
    <row r="99" spans="1:14" hidden="1" outlineLevel="1" x14ac:dyDescent="0.2">
      <c r="A99" s="7" t="s">
        <v>188</v>
      </c>
      <c r="B99" s="9">
        <v>0</v>
      </c>
      <c r="C99" s="9">
        <v>0</v>
      </c>
      <c r="D99" s="9">
        <v>0</v>
      </c>
      <c r="E99" s="9">
        <v>0</v>
      </c>
      <c r="F99" s="9">
        <v>2</v>
      </c>
      <c r="G99" s="9">
        <v>14</v>
      </c>
      <c r="H99" s="9">
        <v>14</v>
      </c>
      <c r="I99" s="9">
        <v>13</v>
      </c>
      <c r="J99" s="9">
        <v>16</v>
      </c>
      <c r="K99" s="9">
        <v>14</v>
      </c>
      <c r="L99" s="9">
        <v>16</v>
      </c>
      <c r="M99" s="9">
        <v>10</v>
      </c>
      <c r="N99" s="9">
        <f t="shared" si="10"/>
        <v>99</v>
      </c>
    </row>
    <row r="100" spans="1:14" hidden="1" outlineLevel="1" x14ac:dyDescent="0.2">
      <c r="A100" s="12" t="s">
        <v>48</v>
      </c>
      <c r="B100" s="9">
        <v>32</v>
      </c>
      <c r="C100" s="9">
        <v>24</v>
      </c>
      <c r="D100" s="9">
        <v>26</v>
      </c>
      <c r="E100" s="9">
        <v>28</v>
      </c>
      <c r="F100" s="9">
        <v>12</v>
      </c>
      <c r="G100" s="9">
        <v>22</v>
      </c>
      <c r="H100" s="9">
        <v>28</v>
      </c>
      <c r="I100" s="9">
        <v>25</v>
      </c>
      <c r="J100" s="9">
        <v>12</v>
      </c>
      <c r="K100" s="9">
        <v>12</v>
      </c>
      <c r="L100" s="9">
        <v>16</v>
      </c>
      <c r="M100" s="9">
        <v>24</v>
      </c>
      <c r="N100" s="9">
        <f t="shared" si="10"/>
        <v>261</v>
      </c>
    </row>
    <row r="101" spans="1:14" hidden="1" outlineLevel="1" x14ac:dyDescent="0.2">
      <c r="A101" s="18" t="s">
        <v>26</v>
      </c>
      <c r="B101" s="9">
        <v>8</v>
      </c>
      <c r="C101" s="9">
        <v>8</v>
      </c>
      <c r="D101" s="9">
        <v>10</v>
      </c>
      <c r="E101" s="9">
        <v>8</v>
      </c>
      <c r="F101" s="9">
        <v>10</v>
      </c>
      <c r="G101" s="9">
        <v>22</v>
      </c>
      <c r="H101" s="9">
        <v>34</v>
      </c>
      <c r="I101" s="9">
        <v>38</v>
      </c>
      <c r="J101" s="9">
        <v>22</v>
      </c>
      <c r="K101" s="9">
        <v>0</v>
      </c>
      <c r="L101" s="9">
        <v>0</v>
      </c>
      <c r="M101" s="9">
        <v>0</v>
      </c>
      <c r="N101" s="9">
        <f t="shared" si="10"/>
        <v>160</v>
      </c>
    </row>
    <row r="102" spans="1:14" hidden="1" outlineLevel="1" x14ac:dyDescent="0.2">
      <c r="A102" s="18" t="s">
        <v>44</v>
      </c>
      <c r="B102" s="9">
        <v>32</v>
      </c>
      <c r="C102" s="9">
        <v>28</v>
      </c>
      <c r="D102" s="9">
        <v>32</v>
      </c>
      <c r="E102" s="9">
        <v>36</v>
      </c>
      <c r="F102" s="9">
        <v>52</v>
      </c>
      <c r="G102" s="9">
        <v>50</v>
      </c>
      <c r="H102" s="9">
        <v>54</v>
      </c>
      <c r="I102" s="9">
        <v>54</v>
      </c>
      <c r="J102" s="9">
        <v>50</v>
      </c>
      <c r="K102" s="9">
        <v>54</v>
      </c>
      <c r="L102" s="9">
        <v>44</v>
      </c>
      <c r="M102" s="9">
        <v>44</v>
      </c>
      <c r="N102" s="9">
        <f t="shared" si="10"/>
        <v>530</v>
      </c>
    </row>
    <row r="103" spans="1:14" hidden="1" outlineLevel="1" x14ac:dyDescent="0.2">
      <c r="A103" s="12" t="s">
        <v>70</v>
      </c>
      <c r="B103" s="9">
        <v>18</v>
      </c>
      <c r="C103" s="9">
        <v>16</v>
      </c>
      <c r="D103" s="9">
        <v>16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f t="shared" si="10"/>
        <v>50</v>
      </c>
    </row>
    <row r="104" spans="1:14" hidden="1" outlineLevel="1" x14ac:dyDescent="0.2">
      <c r="A104" s="11" t="s">
        <v>22</v>
      </c>
      <c r="B104" s="9">
        <v>18</v>
      </c>
      <c r="C104" s="9">
        <v>16</v>
      </c>
      <c r="D104" s="9">
        <v>18</v>
      </c>
      <c r="E104" s="9">
        <v>16</v>
      </c>
      <c r="F104" s="9">
        <v>18</v>
      </c>
      <c r="G104" s="9">
        <v>18</v>
      </c>
      <c r="H104" s="9">
        <v>18</v>
      </c>
      <c r="I104" s="9">
        <v>18</v>
      </c>
      <c r="J104" s="9">
        <v>16</v>
      </c>
      <c r="K104" s="9">
        <v>18</v>
      </c>
      <c r="L104" s="9">
        <v>18</v>
      </c>
      <c r="M104" s="9">
        <v>16</v>
      </c>
      <c r="N104" s="9">
        <f t="shared" si="10"/>
        <v>208</v>
      </c>
    </row>
    <row r="105" spans="1:14" hidden="1" outlineLevel="1" x14ac:dyDescent="0.2">
      <c r="A105" s="11" t="s">
        <v>21</v>
      </c>
      <c r="B105" s="9">
        <v>26</v>
      </c>
      <c r="C105" s="9">
        <v>24</v>
      </c>
      <c r="D105" s="9">
        <v>26</v>
      </c>
      <c r="E105" s="9">
        <v>26</v>
      </c>
      <c r="F105" s="9">
        <v>26</v>
      </c>
      <c r="G105" s="9">
        <v>26</v>
      </c>
      <c r="H105" s="9">
        <v>26</v>
      </c>
      <c r="I105" s="9">
        <v>26</v>
      </c>
      <c r="J105" s="9">
        <v>26</v>
      </c>
      <c r="K105" s="9">
        <v>26</v>
      </c>
      <c r="L105" s="9">
        <v>26</v>
      </c>
      <c r="M105" s="9">
        <v>28</v>
      </c>
      <c r="N105" s="9">
        <f t="shared" si="10"/>
        <v>312</v>
      </c>
    </row>
    <row r="106" spans="1:14" s="1" customFormat="1" hidden="1" outlineLevel="1" x14ac:dyDescent="0.2">
      <c r="A106" s="12" t="s">
        <v>81</v>
      </c>
      <c r="B106" s="9">
        <v>18</v>
      </c>
      <c r="C106" s="9">
        <v>16</v>
      </c>
      <c r="D106" s="9">
        <v>18</v>
      </c>
      <c r="E106" s="9">
        <v>26</v>
      </c>
      <c r="F106" s="9">
        <v>26</v>
      </c>
      <c r="G106" s="9">
        <v>26</v>
      </c>
      <c r="H106" s="9">
        <v>26</v>
      </c>
      <c r="I106" s="9">
        <v>26</v>
      </c>
      <c r="J106" s="9">
        <v>26</v>
      </c>
      <c r="K106" s="9">
        <v>26</v>
      </c>
      <c r="L106" s="9">
        <v>16</v>
      </c>
      <c r="M106" s="9">
        <v>14</v>
      </c>
      <c r="N106" s="9">
        <f t="shared" si="10"/>
        <v>264</v>
      </c>
    </row>
    <row r="107" spans="1:14" s="1" customFormat="1" hidden="1" outlineLevel="1" x14ac:dyDescent="0.2">
      <c r="A107" s="12" t="s">
        <v>198</v>
      </c>
      <c r="B107" s="9">
        <v>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10</v>
      </c>
      <c r="L107" s="9">
        <v>10</v>
      </c>
      <c r="M107" s="9">
        <v>8</v>
      </c>
      <c r="N107" s="9">
        <f t="shared" si="10"/>
        <v>28</v>
      </c>
    </row>
    <row r="108" spans="1:14" hidden="1" outlineLevel="1" x14ac:dyDescent="0.2">
      <c r="A108" s="11" t="s">
        <v>41</v>
      </c>
      <c r="B108" s="9">
        <v>36</v>
      </c>
      <c r="C108" s="9">
        <v>32</v>
      </c>
      <c r="D108" s="9">
        <v>36</v>
      </c>
      <c r="E108" s="9">
        <v>32</v>
      </c>
      <c r="F108" s="9">
        <v>34</v>
      </c>
      <c r="G108" s="9">
        <v>18</v>
      </c>
      <c r="H108" s="9">
        <v>18</v>
      </c>
      <c r="I108" s="9">
        <v>18</v>
      </c>
      <c r="J108" s="9">
        <v>8</v>
      </c>
      <c r="K108" s="9">
        <v>18</v>
      </c>
      <c r="L108" s="9">
        <v>28</v>
      </c>
      <c r="M108" s="9">
        <v>24</v>
      </c>
      <c r="N108" s="9">
        <f t="shared" si="10"/>
        <v>302</v>
      </c>
    </row>
    <row r="109" spans="1:14" collapsed="1" x14ac:dyDescent="0.2">
      <c r="A109" s="22" t="s">
        <v>100</v>
      </c>
      <c r="B109" s="33">
        <f t="shared" ref="B109:N109" si="11">SUM(B110:B112)</f>
        <v>125</v>
      </c>
      <c r="C109" s="33">
        <f t="shared" si="11"/>
        <v>96</v>
      </c>
      <c r="D109" s="33">
        <f t="shared" si="11"/>
        <v>120</v>
      </c>
      <c r="E109" s="33">
        <f t="shared" si="11"/>
        <v>137</v>
      </c>
      <c r="F109" s="33">
        <f t="shared" si="11"/>
        <v>156</v>
      </c>
      <c r="G109" s="33">
        <f t="shared" si="11"/>
        <v>139</v>
      </c>
      <c r="H109" s="33">
        <f t="shared" si="11"/>
        <v>163</v>
      </c>
      <c r="I109" s="33">
        <f t="shared" si="11"/>
        <v>156</v>
      </c>
      <c r="J109" s="33">
        <f t="shared" si="11"/>
        <v>166</v>
      </c>
      <c r="K109" s="33">
        <f t="shared" si="11"/>
        <v>175</v>
      </c>
      <c r="L109" s="33">
        <f t="shared" si="11"/>
        <v>170</v>
      </c>
      <c r="M109" s="33">
        <f t="shared" si="11"/>
        <v>161</v>
      </c>
      <c r="N109" s="33">
        <f t="shared" si="11"/>
        <v>1764</v>
      </c>
    </row>
    <row r="110" spans="1:14" hidden="1" outlineLevel="1" x14ac:dyDescent="0.2">
      <c r="A110" s="29" t="s">
        <v>102</v>
      </c>
      <c r="B110" s="9">
        <v>88</v>
      </c>
      <c r="C110" s="9">
        <v>56</v>
      </c>
      <c r="D110" s="9">
        <v>76</v>
      </c>
      <c r="E110" s="9">
        <v>84</v>
      </c>
      <c r="F110" s="9">
        <v>92</v>
      </c>
      <c r="G110" s="9">
        <v>80</v>
      </c>
      <c r="H110" s="9">
        <v>90</v>
      </c>
      <c r="I110" s="9">
        <v>88</v>
      </c>
      <c r="J110" s="9">
        <v>84</v>
      </c>
      <c r="K110" s="9">
        <v>92</v>
      </c>
      <c r="L110" s="9">
        <v>84</v>
      </c>
      <c r="M110" s="9">
        <v>84</v>
      </c>
      <c r="N110" s="9">
        <f t="shared" ref="N110:N112" si="12">SUM(B110:M110)</f>
        <v>998</v>
      </c>
    </row>
    <row r="111" spans="1:14" hidden="1" outlineLevel="1" x14ac:dyDescent="0.2">
      <c r="A111" s="29" t="s">
        <v>111</v>
      </c>
      <c r="B111" s="9">
        <v>21</v>
      </c>
      <c r="C111" s="9">
        <v>24</v>
      </c>
      <c r="D111" s="9">
        <v>26</v>
      </c>
      <c r="E111" s="9">
        <v>24</v>
      </c>
      <c r="F111" s="9">
        <v>32</v>
      </c>
      <c r="G111" s="9">
        <v>27</v>
      </c>
      <c r="H111" s="9">
        <v>38</v>
      </c>
      <c r="I111" s="9">
        <v>32</v>
      </c>
      <c r="J111" s="9">
        <v>48</v>
      </c>
      <c r="K111" s="9">
        <v>48</v>
      </c>
      <c r="L111" s="9">
        <v>46</v>
      </c>
      <c r="M111" s="9">
        <v>38</v>
      </c>
      <c r="N111" s="9">
        <f t="shared" si="12"/>
        <v>404</v>
      </c>
    </row>
    <row r="112" spans="1:14" hidden="1" outlineLevel="1" x14ac:dyDescent="0.2">
      <c r="A112" s="29" t="s">
        <v>110</v>
      </c>
      <c r="B112" s="9">
        <v>16</v>
      </c>
      <c r="C112" s="9">
        <v>16</v>
      </c>
      <c r="D112" s="9">
        <v>18</v>
      </c>
      <c r="E112" s="9">
        <v>29</v>
      </c>
      <c r="F112" s="9">
        <v>32</v>
      </c>
      <c r="G112" s="9">
        <v>32</v>
      </c>
      <c r="H112" s="9">
        <v>35</v>
      </c>
      <c r="I112" s="9">
        <v>36</v>
      </c>
      <c r="J112" s="9">
        <v>34</v>
      </c>
      <c r="K112" s="9">
        <v>35</v>
      </c>
      <c r="L112" s="9">
        <v>40</v>
      </c>
      <c r="M112" s="9">
        <v>39</v>
      </c>
      <c r="N112" s="9">
        <f t="shared" si="12"/>
        <v>362</v>
      </c>
    </row>
    <row r="113" spans="1:14" collapsed="1" x14ac:dyDescent="0.2">
      <c r="A113" s="20" t="s">
        <v>0</v>
      </c>
      <c r="B113" s="21">
        <f t="shared" ref="B113:N113" si="13">B42+B64+B70+B86+B109</f>
        <v>22264</v>
      </c>
      <c r="C113" s="21">
        <f t="shared" si="13"/>
        <v>19822</v>
      </c>
      <c r="D113" s="21">
        <f t="shared" si="13"/>
        <v>22561</v>
      </c>
      <c r="E113" s="21">
        <f t="shared" si="13"/>
        <v>20418</v>
      </c>
      <c r="F113" s="21">
        <f t="shared" si="13"/>
        <v>18232</v>
      </c>
      <c r="G113" s="21">
        <f t="shared" si="13"/>
        <v>19044</v>
      </c>
      <c r="H113" s="21">
        <f t="shared" si="13"/>
        <v>20106</v>
      </c>
      <c r="I113" s="21">
        <f t="shared" si="13"/>
        <v>18817</v>
      </c>
      <c r="J113" s="21">
        <f t="shared" si="13"/>
        <v>14973</v>
      </c>
      <c r="K113" s="21">
        <f t="shared" si="13"/>
        <v>17300</v>
      </c>
      <c r="L113" s="21">
        <f t="shared" si="13"/>
        <v>19836</v>
      </c>
      <c r="M113" s="21">
        <f t="shared" si="13"/>
        <v>22043</v>
      </c>
      <c r="N113" s="21">
        <f t="shared" si="13"/>
        <v>235416</v>
      </c>
    </row>
    <row r="114" spans="1:14" x14ac:dyDescent="0.2">
      <c r="N114" s="37"/>
    </row>
    <row r="115" spans="1:14" x14ac:dyDescent="0.2"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</row>
    <row r="116" spans="1:14" x14ac:dyDescent="0.2">
      <c r="B116" s="5"/>
      <c r="C116" s="5"/>
      <c r="D116" s="5"/>
    </row>
    <row r="117" spans="1:14" x14ac:dyDescent="0.2">
      <c r="N117" s="37"/>
    </row>
  </sheetData>
  <sortState ref="A43:N64">
    <sortCondition ref="A43"/>
  </sortState>
  <phoneticPr fontId="6" type="noConversion"/>
  <pageMargins left="0.75" right="0.75" top="1" bottom="1" header="0" footer="0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"/>
  <sheetViews>
    <sheetView zoomScale="80" zoomScaleNormal="80" workbookViewId="0">
      <pane xSplit="1" topLeftCell="B1" activePane="topRight" state="frozen"/>
      <selection pane="topRight" activeCell="B1" sqref="B1"/>
    </sheetView>
  </sheetViews>
  <sheetFormatPr baseColWidth="10" defaultRowHeight="12.75" outlineLevelRow="1" x14ac:dyDescent="0.2"/>
  <cols>
    <col min="1" max="1" width="47.140625" customWidth="1"/>
    <col min="2" max="14" width="14.28515625" customWidth="1"/>
  </cols>
  <sheetData>
    <row r="1" spans="1:14" ht="15.75" x14ac:dyDescent="0.25">
      <c r="B1" s="25" t="s">
        <v>116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30">
        <v>2015</v>
      </c>
    </row>
    <row r="2" spans="1:14" x14ac:dyDescent="0.2">
      <c r="B2" s="26" t="s">
        <v>137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4" ht="15" x14ac:dyDescent="0.25">
      <c r="B3" s="27" t="s">
        <v>133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4" x14ac:dyDescent="0.2">
      <c r="B4" s="28" t="s">
        <v>117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1:14" x14ac:dyDescent="0.2">
      <c r="A5" s="3"/>
    </row>
    <row r="6" spans="1:14" x14ac:dyDescent="0.2">
      <c r="A6" s="23" t="s">
        <v>82</v>
      </c>
      <c r="B6" s="23" t="s">
        <v>83</v>
      </c>
      <c r="C6" s="23" t="s">
        <v>84</v>
      </c>
      <c r="D6" s="23" t="s">
        <v>118</v>
      </c>
      <c r="E6" s="23" t="s">
        <v>85</v>
      </c>
      <c r="F6" s="23" t="s">
        <v>86</v>
      </c>
      <c r="G6" s="23" t="s">
        <v>87</v>
      </c>
      <c r="H6" s="23" t="s">
        <v>119</v>
      </c>
      <c r="I6" s="23" t="s">
        <v>120</v>
      </c>
      <c r="J6" s="23" t="s">
        <v>121</v>
      </c>
      <c r="K6" s="23" t="s">
        <v>122</v>
      </c>
      <c r="L6" s="23" t="s">
        <v>123</v>
      </c>
      <c r="M6" s="23" t="s">
        <v>124</v>
      </c>
      <c r="N6" s="23" t="s">
        <v>125</v>
      </c>
    </row>
    <row r="7" spans="1:14" x14ac:dyDescent="0.2">
      <c r="A7" s="14" t="s">
        <v>108</v>
      </c>
      <c r="B7" s="9">
        <v>6327</v>
      </c>
      <c r="C7" s="9">
        <v>5000</v>
      </c>
      <c r="D7" s="9">
        <v>5881</v>
      </c>
      <c r="E7" s="9">
        <v>6171</v>
      </c>
      <c r="F7" s="9">
        <v>6173</v>
      </c>
      <c r="G7" s="9">
        <v>5668</v>
      </c>
      <c r="H7" s="9">
        <v>9782</v>
      </c>
      <c r="I7" s="9">
        <v>9532</v>
      </c>
      <c r="J7" s="9">
        <v>7518</v>
      </c>
      <c r="K7" s="9">
        <v>8037</v>
      </c>
      <c r="L7" s="9">
        <v>9930</v>
      </c>
      <c r="M7" s="9">
        <v>14424</v>
      </c>
      <c r="N7" s="9">
        <f>SUM(B7:M7)</f>
        <v>94443</v>
      </c>
    </row>
    <row r="8" spans="1:14" x14ac:dyDescent="0.2">
      <c r="A8" s="2" t="s">
        <v>4</v>
      </c>
      <c r="B8" s="9">
        <v>35673</v>
      </c>
      <c r="C8" s="9">
        <v>37087</v>
      </c>
      <c r="D8" s="9">
        <v>41492</v>
      </c>
      <c r="E8" s="9">
        <v>40128</v>
      </c>
      <c r="F8" s="9">
        <v>40856</v>
      </c>
      <c r="G8" s="9">
        <v>41281</v>
      </c>
      <c r="H8" s="9">
        <v>41078</v>
      </c>
      <c r="I8" s="9">
        <v>39252</v>
      </c>
      <c r="J8" s="9">
        <v>36493</v>
      </c>
      <c r="K8" s="9">
        <v>41435</v>
      </c>
      <c r="L8" s="9">
        <v>45160</v>
      </c>
      <c r="M8" s="9">
        <v>43340</v>
      </c>
      <c r="N8" s="9">
        <f t="shared" ref="N8:N15" si="0">SUM(B8:M8)</f>
        <v>483275</v>
      </c>
    </row>
    <row r="9" spans="1:14" s="1" customFormat="1" x14ac:dyDescent="0.2">
      <c r="A9" s="2" t="s">
        <v>2</v>
      </c>
      <c r="B9" s="9">
        <v>414443</v>
      </c>
      <c r="C9" s="9">
        <v>394100</v>
      </c>
      <c r="D9" s="9">
        <v>450515</v>
      </c>
      <c r="E9" s="9">
        <v>437654</v>
      </c>
      <c r="F9" s="9">
        <v>503476</v>
      </c>
      <c r="G9" s="9">
        <v>469561</v>
      </c>
      <c r="H9" s="9">
        <v>503799</v>
      </c>
      <c r="I9" s="9">
        <v>472901</v>
      </c>
      <c r="J9" s="9">
        <v>408481</v>
      </c>
      <c r="K9" s="9">
        <v>462401</v>
      </c>
      <c r="L9" s="9">
        <v>485018</v>
      </c>
      <c r="M9" s="9">
        <v>452921</v>
      </c>
      <c r="N9" s="9">
        <f t="shared" si="0"/>
        <v>5455270</v>
      </c>
    </row>
    <row r="10" spans="1:14" s="1" customFormat="1" x14ac:dyDescent="0.2">
      <c r="A10" s="2" t="s">
        <v>1</v>
      </c>
      <c r="B10" s="9">
        <v>564172</v>
      </c>
      <c r="C10" s="9">
        <v>533721</v>
      </c>
      <c r="D10" s="9">
        <v>618045</v>
      </c>
      <c r="E10" s="9">
        <v>582095</v>
      </c>
      <c r="F10" s="9">
        <v>595011</v>
      </c>
      <c r="G10" s="9">
        <v>560182</v>
      </c>
      <c r="H10" s="9">
        <v>639403</v>
      </c>
      <c r="I10" s="9">
        <v>614946</v>
      </c>
      <c r="J10" s="9">
        <v>545465</v>
      </c>
      <c r="K10" s="9">
        <v>604364</v>
      </c>
      <c r="L10" s="9">
        <v>613311</v>
      </c>
      <c r="M10" s="9">
        <v>632086</v>
      </c>
      <c r="N10" s="9">
        <f t="shared" si="0"/>
        <v>7102801</v>
      </c>
    </row>
    <row r="11" spans="1:14" s="1" customFormat="1" x14ac:dyDescent="0.2">
      <c r="A11" s="2" t="s">
        <v>3</v>
      </c>
      <c r="B11" s="9">
        <v>608507</v>
      </c>
      <c r="C11" s="9">
        <v>582985</v>
      </c>
      <c r="D11" s="9">
        <v>751439</v>
      </c>
      <c r="E11" s="9">
        <v>761034</v>
      </c>
      <c r="F11" s="9">
        <v>776377</v>
      </c>
      <c r="G11" s="9">
        <v>786704</v>
      </c>
      <c r="H11" s="9">
        <v>872501</v>
      </c>
      <c r="I11" s="9">
        <v>819792</v>
      </c>
      <c r="J11" s="9">
        <v>772378</v>
      </c>
      <c r="K11" s="9">
        <v>807413</v>
      </c>
      <c r="L11" s="9">
        <v>795959</v>
      </c>
      <c r="M11" s="9">
        <v>803676</v>
      </c>
      <c r="N11" s="9">
        <f t="shared" si="0"/>
        <v>9138765</v>
      </c>
    </row>
    <row r="12" spans="1:14" s="1" customFormat="1" x14ac:dyDescent="0.2">
      <c r="A12" s="2" t="s">
        <v>6</v>
      </c>
      <c r="B12" s="9">
        <v>69597</v>
      </c>
      <c r="C12" s="9">
        <v>48937</v>
      </c>
      <c r="D12" s="9">
        <v>70055</v>
      </c>
      <c r="E12" s="9">
        <v>70985</v>
      </c>
      <c r="F12" s="9">
        <v>100804</v>
      </c>
      <c r="G12" s="9">
        <v>104949</v>
      </c>
      <c r="H12" s="9">
        <v>140831</v>
      </c>
      <c r="I12" s="9">
        <v>136178</v>
      </c>
      <c r="J12" s="9">
        <v>74691</v>
      </c>
      <c r="K12" s="9">
        <v>69065</v>
      </c>
      <c r="L12" s="9">
        <v>69749</v>
      </c>
      <c r="M12" s="9">
        <v>60867</v>
      </c>
      <c r="N12" s="9">
        <f t="shared" si="0"/>
        <v>1016708</v>
      </c>
    </row>
    <row r="13" spans="1:14" s="1" customFormat="1" x14ac:dyDescent="0.2">
      <c r="A13" s="2" t="s">
        <v>103</v>
      </c>
      <c r="B13" s="9">
        <v>15632</v>
      </c>
      <c r="C13" s="9">
        <v>13855</v>
      </c>
      <c r="D13" s="9">
        <v>18093</v>
      </c>
      <c r="E13" s="9">
        <v>18488</v>
      </c>
      <c r="F13" s="9">
        <v>18730</v>
      </c>
      <c r="G13" s="9">
        <v>18332</v>
      </c>
      <c r="H13" s="9">
        <v>24621</v>
      </c>
      <c r="I13" s="9">
        <v>26488</v>
      </c>
      <c r="J13" s="9">
        <v>22435</v>
      </c>
      <c r="K13" s="9">
        <v>29611</v>
      </c>
      <c r="L13" s="9">
        <v>37383</v>
      </c>
      <c r="M13" s="9">
        <v>46383</v>
      </c>
      <c r="N13" s="9">
        <f t="shared" si="0"/>
        <v>290051</v>
      </c>
    </row>
    <row r="14" spans="1:14" s="1" customFormat="1" x14ac:dyDescent="0.2">
      <c r="A14" s="2" t="s">
        <v>5</v>
      </c>
      <c r="B14" s="9">
        <v>310806</v>
      </c>
      <c r="C14" s="9">
        <v>268736</v>
      </c>
      <c r="D14" s="9">
        <v>326644</v>
      </c>
      <c r="E14" s="9">
        <v>350921</v>
      </c>
      <c r="F14" s="9">
        <v>330071</v>
      </c>
      <c r="G14" s="9">
        <v>327519</v>
      </c>
      <c r="H14" s="9">
        <v>473018</v>
      </c>
      <c r="I14" s="9">
        <v>450809</v>
      </c>
      <c r="J14" s="9">
        <v>343200</v>
      </c>
      <c r="K14" s="9">
        <v>375886</v>
      </c>
      <c r="L14" s="9">
        <v>375863</v>
      </c>
      <c r="M14" s="9">
        <v>427947</v>
      </c>
      <c r="N14" s="9">
        <f t="shared" si="0"/>
        <v>4361420</v>
      </c>
    </row>
    <row r="15" spans="1:14" s="1" customFormat="1" x14ac:dyDescent="0.2">
      <c r="A15" s="2" t="s">
        <v>50</v>
      </c>
      <c r="B15" s="9">
        <v>686691</v>
      </c>
      <c r="C15" s="9">
        <v>561261</v>
      </c>
      <c r="D15" s="9">
        <v>685155</v>
      </c>
      <c r="E15" s="9">
        <v>720548</v>
      </c>
      <c r="F15" s="9">
        <v>739457</v>
      </c>
      <c r="G15" s="9">
        <v>752478</v>
      </c>
      <c r="H15" s="9">
        <v>967372</v>
      </c>
      <c r="I15" s="9">
        <v>893403</v>
      </c>
      <c r="J15" s="9">
        <v>693475</v>
      </c>
      <c r="K15" s="9">
        <v>769027</v>
      </c>
      <c r="L15" s="9">
        <v>817935</v>
      </c>
      <c r="M15" s="9">
        <v>909288</v>
      </c>
      <c r="N15" s="9">
        <f t="shared" si="0"/>
        <v>9196090</v>
      </c>
    </row>
    <row r="16" spans="1:14" x14ac:dyDescent="0.2">
      <c r="A16" s="20" t="s">
        <v>0</v>
      </c>
      <c r="B16" s="21">
        <f t="shared" ref="B16:M16" si="1">SUM(B7:B15)</f>
        <v>2711848</v>
      </c>
      <c r="C16" s="21">
        <f t="shared" si="1"/>
        <v>2445682</v>
      </c>
      <c r="D16" s="21">
        <f t="shared" si="1"/>
        <v>2967319</v>
      </c>
      <c r="E16" s="21">
        <f t="shared" si="1"/>
        <v>2988024</v>
      </c>
      <c r="F16" s="21">
        <f>SUM(F7:F15)</f>
        <v>3110955</v>
      </c>
      <c r="G16" s="21">
        <f t="shared" si="1"/>
        <v>3066674</v>
      </c>
      <c r="H16" s="21">
        <f t="shared" si="1"/>
        <v>3672405</v>
      </c>
      <c r="I16" s="21">
        <f t="shared" si="1"/>
        <v>3463301</v>
      </c>
      <c r="J16" s="21">
        <f t="shared" si="1"/>
        <v>2904136</v>
      </c>
      <c r="K16" s="21">
        <f t="shared" si="1"/>
        <v>3167239</v>
      </c>
      <c r="L16" s="21">
        <f t="shared" si="1"/>
        <v>3250308</v>
      </c>
      <c r="M16" s="21">
        <f t="shared" si="1"/>
        <v>3390932</v>
      </c>
      <c r="N16" s="21">
        <f>SUM(N7:N15)</f>
        <v>37138823</v>
      </c>
    </row>
    <row r="17" spans="1:14" x14ac:dyDescent="0.2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4" x14ac:dyDescent="0.2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x14ac:dyDescent="0.2">
      <c r="A19" s="4" t="s">
        <v>132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x14ac:dyDescent="0.2">
      <c r="A20" s="6" t="s">
        <v>126</v>
      </c>
    </row>
    <row r="22" spans="1:14" x14ac:dyDescent="0.2">
      <c r="A22" s="23" t="s">
        <v>82</v>
      </c>
      <c r="B22" s="23" t="s">
        <v>83</v>
      </c>
      <c r="C22" s="23" t="s">
        <v>84</v>
      </c>
      <c r="D22" s="23" t="s">
        <v>118</v>
      </c>
      <c r="E22" s="23" t="s">
        <v>85</v>
      </c>
      <c r="F22" s="23" t="s">
        <v>86</v>
      </c>
      <c r="G22" s="23" t="s">
        <v>87</v>
      </c>
      <c r="H22" s="23" t="s">
        <v>119</v>
      </c>
      <c r="I22" s="23" t="s">
        <v>120</v>
      </c>
      <c r="J22" s="23" t="s">
        <v>121</v>
      </c>
      <c r="K22" s="23" t="s">
        <v>122</v>
      </c>
      <c r="L22" s="23" t="s">
        <v>123</v>
      </c>
      <c r="M22" s="23" t="s">
        <v>124</v>
      </c>
      <c r="N22" s="23" t="s">
        <v>125</v>
      </c>
    </row>
    <row r="23" spans="1:14" s="1" customFormat="1" x14ac:dyDescent="0.2">
      <c r="A23" s="7" t="s">
        <v>4</v>
      </c>
      <c r="B23" s="9">
        <v>1267</v>
      </c>
      <c r="C23" s="9">
        <v>581</v>
      </c>
      <c r="D23" s="9">
        <v>766</v>
      </c>
      <c r="E23" s="9">
        <v>848</v>
      </c>
      <c r="F23" s="9">
        <v>706</v>
      </c>
      <c r="G23" s="9">
        <v>587</v>
      </c>
      <c r="H23" s="9">
        <v>947</v>
      </c>
      <c r="I23" s="9">
        <v>954</v>
      </c>
      <c r="J23" s="9">
        <v>559</v>
      </c>
      <c r="K23" s="9">
        <v>585</v>
      </c>
      <c r="L23" s="9">
        <v>990</v>
      </c>
      <c r="M23" s="9">
        <v>1260</v>
      </c>
      <c r="N23" s="9">
        <f t="shared" ref="N23:N28" si="2">SUM(B23:M23)</f>
        <v>10050</v>
      </c>
    </row>
    <row r="24" spans="1:14" x14ac:dyDescent="0.2">
      <c r="A24" s="7" t="s">
        <v>2</v>
      </c>
      <c r="B24" s="9">
        <v>405851</v>
      </c>
      <c r="C24" s="9">
        <v>334796</v>
      </c>
      <c r="D24" s="9">
        <v>400454</v>
      </c>
      <c r="E24" s="9">
        <v>400114</v>
      </c>
      <c r="F24" s="9">
        <v>453419</v>
      </c>
      <c r="G24" s="9">
        <v>433346</v>
      </c>
      <c r="H24" s="9">
        <v>509040</v>
      </c>
      <c r="I24" s="9">
        <v>493560</v>
      </c>
      <c r="J24" s="9">
        <v>399302</v>
      </c>
      <c r="K24" s="9">
        <v>419709</v>
      </c>
      <c r="L24" s="9">
        <v>410181</v>
      </c>
      <c r="M24" s="9">
        <v>475633</v>
      </c>
      <c r="N24" s="9">
        <f t="shared" si="2"/>
        <v>5135405</v>
      </c>
    </row>
    <row r="25" spans="1:14" x14ac:dyDescent="0.2">
      <c r="A25" s="2" t="s">
        <v>1</v>
      </c>
      <c r="B25" s="9">
        <v>68467</v>
      </c>
      <c r="C25" s="9">
        <v>58035</v>
      </c>
      <c r="D25" s="9">
        <v>79926</v>
      </c>
      <c r="E25" s="9">
        <v>74854</v>
      </c>
      <c r="F25" s="9">
        <v>83068</v>
      </c>
      <c r="G25" s="9">
        <v>80588</v>
      </c>
      <c r="H25" s="9">
        <v>91019</v>
      </c>
      <c r="I25" s="9">
        <v>83897</v>
      </c>
      <c r="J25" s="9">
        <v>61002</v>
      </c>
      <c r="K25" s="9">
        <v>72098</v>
      </c>
      <c r="L25" s="9">
        <v>78673</v>
      </c>
      <c r="M25" s="9">
        <v>86023</v>
      </c>
      <c r="N25" s="9">
        <f t="shared" si="2"/>
        <v>917650</v>
      </c>
    </row>
    <row r="26" spans="1:14" x14ac:dyDescent="0.2">
      <c r="A26" s="2" t="s">
        <v>3</v>
      </c>
      <c r="B26" s="9">
        <v>86503</v>
      </c>
      <c r="C26" s="9">
        <v>73621</v>
      </c>
      <c r="D26" s="9">
        <v>96973</v>
      </c>
      <c r="E26" s="9">
        <v>101549</v>
      </c>
      <c r="F26" s="9">
        <v>102724</v>
      </c>
      <c r="G26" s="9">
        <v>117138</v>
      </c>
      <c r="H26" s="9">
        <v>132510</v>
      </c>
      <c r="I26" s="9">
        <v>128246</v>
      </c>
      <c r="J26" s="9">
        <v>119164</v>
      </c>
      <c r="K26" s="9">
        <v>118092</v>
      </c>
      <c r="L26" s="9">
        <v>124155</v>
      </c>
      <c r="M26" s="9">
        <v>143089</v>
      </c>
      <c r="N26" s="9">
        <f t="shared" si="2"/>
        <v>1343764</v>
      </c>
    </row>
    <row r="27" spans="1:14" x14ac:dyDescent="0.2">
      <c r="A27" s="2" t="s">
        <v>5</v>
      </c>
      <c r="B27" s="9">
        <v>12033</v>
      </c>
      <c r="C27" s="9">
        <v>7666</v>
      </c>
      <c r="D27" s="9">
        <v>13736</v>
      </c>
      <c r="E27" s="9">
        <v>15620</v>
      </c>
      <c r="F27" s="9">
        <v>16720</v>
      </c>
      <c r="G27" s="9">
        <v>21476</v>
      </c>
      <c r="H27" s="9">
        <v>23812</v>
      </c>
      <c r="I27" s="9">
        <v>16435</v>
      </c>
      <c r="J27" s="9">
        <v>8150</v>
      </c>
      <c r="K27" s="9">
        <v>4745</v>
      </c>
      <c r="L27" s="9">
        <v>3910</v>
      </c>
      <c r="M27" s="9">
        <v>8137</v>
      </c>
      <c r="N27" s="9">
        <f t="shared" si="2"/>
        <v>152440</v>
      </c>
    </row>
    <row r="28" spans="1:14" x14ac:dyDescent="0.2">
      <c r="A28" s="2" t="s">
        <v>50</v>
      </c>
      <c r="B28" s="9">
        <v>180883</v>
      </c>
      <c r="C28" s="9">
        <v>126940</v>
      </c>
      <c r="D28" s="9">
        <v>158627</v>
      </c>
      <c r="E28" s="9">
        <v>168902</v>
      </c>
      <c r="F28" s="9">
        <v>170011</v>
      </c>
      <c r="G28" s="9">
        <v>195243</v>
      </c>
      <c r="H28" s="9">
        <v>258602</v>
      </c>
      <c r="I28" s="9">
        <v>236148</v>
      </c>
      <c r="J28" s="9">
        <v>157602</v>
      </c>
      <c r="K28" s="9">
        <v>168339</v>
      </c>
      <c r="L28" s="9">
        <v>190196</v>
      </c>
      <c r="M28" s="9">
        <v>257138</v>
      </c>
      <c r="N28" s="9">
        <f t="shared" si="2"/>
        <v>2268631</v>
      </c>
    </row>
    <row r="29" spans="1:14" x14ac:dyDescent="0.2">
      <c r="A29" s="20" t="s">
        <v>0</v>
      </c>
      <c r="B29" s="21">
        <f t="shared" ref="B29:N29" si="3">SUM(B23:B28)</f>
        <v>755004</v>
      </c>
      <c r="C29" s="21">
        <f t="shared" si="3"/>
        <v>601639</v>
      </c>
      <c r="D29" s="21">
        <f t="shared" si="3"/>
        <v>750482</v>
      </c>
      <c r="E29" s="21">
        <f t="shared" si="3"/>
        <v>761887</v>
      </c>
      <c r="F29" s="21">
        <f t="shared" si="3"/>
        <v>826648</v>
      </c>
      <c r="G29" s="21">
        <f t="shared" si="3"/>
        <v>848378</v>
      </c>
      <c r="H29" s="21">
        <f t="shared" si="3"/>
        <v>1015930</v>
      </c>
      <c r="I29" s="21">
        <f t="shared" si="3"/>
        <v>959240</v>
      </c>
      <c r="J29" s="21">
        <f t="shared" si="3"/>
        <v>745779</v>
      </c>
      <c r="K29" s="21">
        <f t="shared" si="3"/>
        <v>783568</v>
      </c>
      <c r="L29" s="21">
        <f t="shared" si="3"/>
        <v>808105</v>
      </c>
      <c r="M29" s="21">
        <f t="shared" si="3"/>
        <v>971280</v>
      </c>
      <c r="N29" s="21">
        <f t="shared" si="3"/>
        <v>9827940</v>
      </c>
    </row>
    <row r="32" spans="1:14" x14ac:dyDescent="0.2">
      <c r="A32" s="4" t="s">
        <v>131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4" x14ac:dyDescent="0.2">
      <c r="A33" s="6" t="s">
        <v>126</v>
      </c>
    </row>
    <row r="34" spans="1:14" x14ac:dyDescent="0.2">
      <c r="A34" s="6"/>
    </row>
    <row r="35" spans="1:14" x14ac:dyDescent="0.2">
      <c r="A35" s="23" t="s">
        <v>82</v>
      </c>
      <c r="B35" s="23" t="s">
        <v>83</v>
      </c>
      <c r="C35" s="23" t="s">
        <v>84</v>
      </c>
      <c r="D35" s="23" t="s">
        <v>118</v>
      </c>
      <c r="E35" s="23" t="s">
        <v>85</v>
      </c>
      <c r="F35" s="23" t="s">
        <v>86</v>
      </c>
      <c r="G35" s="23" t="s">
        <v>87</v>
      </c>
      <c r="H35" s="23" t="s">
        <v>119</v>
      </c>
      <c r="I35" s="23" t="s">
        <v>120</v>
      </c>
      <c r="J35" s="23" t="s">
        <v>121</v>
      </c>
      <c r="K35" s="23" t="s">
        <v>122</v>
      </c>
      <c r="L35" s="23" t="s">
        <v>123</v>
      </c>
      <c r="M35" s="23" t="s">
        <v>124</v>
      </c>
      <c r="N35" s="23" t="s">
        <v>125</v>
      </c>
    </row>
    <row r="36" spans="1:14" s="1" customFormat="1" ht="12" customHeight="1" x14ac:dyDescent="0.2">
      <c r="A36" s="22" t="s">
        <v>127</v>
      </c>
      <c r="B36" s="33">
        <f t="shared" ref="B36:N36" si="4">SUM(B37:B52)</f>
        <v>1604952</v>
      </c>
      <c r="C36" s="33">
        <f t="shared" si="4"/>
        <v>1451515</v>
      </c>
      <c r="D36" s="33">
        <f t="shared" si="4"/>
        <v>1803651</v>
      </c>
      <c r="E36" s="33">
        <f t="shared" si="4"/>
        <v>1558690</v>
      </c>
      <c r="F36" s="33">
        <f t="shared" si="4"/>
        <v>1441736</v>
      </c>
      <c r="G36" s="33">
        <f t="shared" si="4"/>
        <v>1597888</v>
      </c>
      <c r="H36" s="33">
        <f t="shared" si="4"/>
        <v>1796512</v>
      </c>
      <c r="I36" s="33">
        <f t="shared" si="4"/>
        <v>1591048</v>
      </c>
      <c r="J36" s="33">
        <f t="shared" si="4"/>
        <v>1027380</v>
      </c>
      <c r="K36" s="33">
        <f t="shared" si="4"/>
        <v>1261550</v>
      </c>
      <c r="L36" s="33">
        <f t="shared" si="4"/>
        <v>1493617</v>
      </c>
      <c r="M36" s="33">
        <f t="shared" si="4"/>
        <v>1728579</v>
      </c>
      <c r="N36" s="33">
        <f t="shared" si="4"/>
        <v>18357118</v>
      </c>
    </row>
    <row r="37" spans="1:14" s="1" customFormat="1" ht="12.75" hidden="1" customHeight="1" outlineLevel="1" x14ac:dyDescent="0.2">
      <c r="A37" s="11" t="s">
        <v>10</v>
      </c>
      <c r="B37" s="9">
        <v>138002</v>
      </c>
      <c r="C37" s="9">
        <v>122352</v>
      </c>
      <c r="D37" s="9">
        <v>147334</v>
      </c>
      <c r="E37" s="9">
        <v>133879</v>
      </c>
      <c r="F37" s="9">
        <v>104246</v>
      </c>
      <c r="G37" s="9">
        <v>99647</v>
      </c>
      <c r="H37" s="9">
        <v>105391</v>
      </c>
      <c r="I37" s="9">
        <v>94695</v>
      </c>
      <c r="J37" s="9">
        <v>73429</v>
      </c>
      <c r="K37" s="9">
        <v>104961</v>
      </c>
      <c r="L37" s="9">
        <v>131957</v>
      </c>
      <c r="M37" s="9">
        <v>145428</v>
      </c>
      <c r="N37" s="9">
        <f t="shared" ref="N37:N52" si="5">SUM(B37:M37)</f>
        <v>1401321</v>
      </c>
    </row>
    <row r="38" spans="1:14" s="1" customFormat="1" ht="13.5" hidden="1" customHeight="1" outlineLevel="1" x14ac:dyDescent="0.2">
      <c r="A38" s="11" t="s">
        <v>8</v>
      </c>
      <c r="B38" s="9">
        <v>321171</v>
      </c>
      <c r="C38" s="9">
        <v>289486</v>
      </c>
      <c r="D38" s="9">
        <v>341751</v>
      </c>
      <c r="E38" s="9">
        <v>285636</v>
      </c>
      <c r="F38" s="9">
        <v>280254</v>
      </c>
      <c r="G38" s="9">
        <v>303925</v>
      </c>
      <c r="H38" s="9">
        <v>342702</v>
      </c>
      <c r="I38" s="9">
        <v>320107</v>
      </c>
      <c r="J38" s="9">
        <v>260102</v>
      </c>
      <c r="K38" s="9">
        <v>287271</v>
      </c>
      <c r="L38" s="9">
        <v>298167</v>
      </c>
      <c r="M38" s="9">
        <v>294247</v>
      </c>
      <c r="N38" s="9">
        <f t="shared" si="5"/>
        <v>3624819</v>
      </c>
    </row>
    <row r="39" spans="1:14" s="1" customFormat="1" ht="12.75" hidden="1" customHeight="1" outlineLevel="1" x14ac:dyDescent="0.2">
      <c r="A39" s="11" t="s">
        <v>7</v>
      </c>
      <c r="B39" s="9">
        <v>82020</v>
      </c>
      <c r="C39" s="9">
        <v>67263</v>
      </c>
      <c r="D39" s="9">
        <v>79976</v>
      </c>
      <c r="E39" s="9">
        <v>69136</v>
      </c>
      <c r="F39" s="9">
        <v>65048</v>
      </c>
      <c r="G39" s="9">
        <v>62340</v>
      </c>
      <c r="H39" s="9">
        <v>67703</v>
      </c>
      <c r="I39" s="9">
        <v>66670</v>
      </c>
      <c r="J39" s="9">
        <v>57880</v>
      </c>
      <c r="K39" s="9">
        <v>61745</v>
      </c>
      <c r="L39" s="9">
        <v>64856</v>
      </c>
      <c r="M39" s="9">
        <v>54357</v>
      </c>
      <c r="N39" s="9">
        <f t="shared" si="5"/>
        <v>798994</v>
      </c>
    </row>
    <row r="40" spans="1:14" s="1" customFormat="1" ht="12.75" hidden="1" customHeight="1" outlineLevel="1" x14ac:dyDescent="0.2">
      <c r="A40" s="11" t="s">
        <v>9</v>
      </c>
      <c r="B40" s="9">
        <v>297864</v>
      </c>
      <c r="C40" s="9">
        <v>264386</v>
      </c>
      <c r="D40" s="9">
        <v>315206</v>
      </c>
      <c r="E40" s="9">
        <v>245746</v>
      </c>
      <c r="F40" s="9">
        <v>215124</v>
      </c>
      <c r="G40" s="9">
        <v>229878</v>
      </c>
      <c r="H40" s="9">
        <v>260180</v>
      </c>
      <c r="I40" s="9">
        <v>239431</v>
      </c>
      <c r="J40" s="9">
        <v>134349</v>
      </c>
      <c r="K40" s="9">
        <v>150005</v>
      </c>
      <c r="L40" s="9">
        <v>155536</v>
      </c>
      <c r="M40" s="9">
        <v>240521</v>
      </c>
      <c r="N40" s="9">
        <f t="shared" si="5"/>
        <v>2748226</v>
      </c>
    </row>
    <row r="41" spans="1:14" s="1" customFormat="1" ht="12.75" hidden="1" customHeight="1" outlineLevel="1" x14ac:dyDescent="0.2">
      <c r="A41" s="11" t="s">
        <v>169</v>
      </c>
      <c r="B41" s="9">
        <v>33196</v>
      </c>
      <c r="C41" s="9">
        <v>25516</v>
      </c>
      <c r="D41" s="9">
        <v>25604</v>
      </c>
      <c r="E41" s="9">
        <v>19157</v>
      </c>
      <c r="F41" s="9">
        <v>18225</v>
      </c>
      <c r="G41" s="9">
        <v>16302</v>
      </c>
      <c r="H41" s="9">
        <v>17964</v>
      </c>
      <c r="I41" s="9">
        <v>18602</v>
      </c>
      <c r="J41" s="9">
        <v>16585</v>
      </c>
      <c r="K41" s="9">
        <v>16720</v>
      </c>
      <c r="L41" s="37">
        <v>17521</v>
      </c>
      <c r="M41" s="9">
        <v>16394</v>
      </c>
      <c r="N41" s="9">
        <f t="shared" si="5"/>
        <v>241786</v>
      </c>
    </row>
    <row r="42" spans="1:14" s="1" customFormat="1" ht="12.75" hidden="1" customHeight="1" outlineLevel="1" x14ac:dyDescent="0.2">
      <c r="A42" s="11" t="s">
        <v>13</v>
      </c>
      <c r="B42" s="9">
        <v>65746</v>
      </c>
      <c r="C42" s="9">
        <v>67738</v>
      </c>
      <c r="D42" s="9">
        <v>72197</v>
      </c>
      <c r="E42" s="9">
        <v>53784</v>
      </c>
      <c r="F42" s="9">
        <v>30859</v>
      </c>
      <c r="G42" s="9">
        <v>39386</v>
      </c>
      <c r="H42" s="9">
        <v>40786</v>
      </c>
      <c r="I42" s="9">
        <v>30482</v>
      </c>
      <c r="J42" s="9">
        <v>22647</v>
      </c>
      <c r="K42" s="9">
        <v>30462</v>
      </c>
      <c r="L42" s="9">
        <v>47587</v>
      </c>
      <c r="M42" s="9">
        <v>53626</v>
      </c>
      <c r="N42" s="9">
        <f t="shared" si="5"/>
        <v>555300</v>
      </c>
    </row>
    <row r="43" spans="1:14" s="1" customFormat="1" ht="12.75" hidden="1" customHeight="1" outlineLevel="1" x14ac:dyDescent="0.2">
      <c r="A43" s="11" t="s">
        <v>60</v>
      </c>
      <c r="B43" s="9">
        <v>2670</v>
      </c>
      <c r="C43" s="9">
        <v>3519</v>
      </c>
      <c r="D43" s="9">
        <v>4602</v>
      </c>
      <c r="E43" s="9">
        <v>4198</v>
      </c>
      <c r="F43" s="9">
        <v>3754</v>
      </c>
      <c r="G43" s="9">
        <v>3453</v>
      </c>
      <c r="H43" s="9">
        <v>3581</v>
      </c>
      <c r="I43" s="9">
        <v>2833</v>
      </c>
      <c r="J43" s="9">
        <v>1396</v>
      </c>
      <c r="K43" s="9">
        <v>2872</v>
      </c>
      <c r="L43" s="9">
        <v>0</v>
      </c>
      <c r="M43" s="9">
        <v>0</v>
      </c>
      <c r="N43" s="9">
        <f t="shared" si="5"/>
        <v>32878</v>
      </c>
    </row>
    <row r="44" spans="1:14" ht="12.75" hidden="1" customHeight="1" outlineLevel="1" x14ac:dyDescent="0.2">
      <c r="A44" s="11" t="s">
        <v>58</v>
      </c>
      <c r="B44" s="9">
        <v>40236</v>
      </c>
      <c r="C44" s="9">
        <v>36156</v>
      </c>
      <c r="D44" s="9">
        <v>43994</v>
      </c>
      <c r="E44" s="9">
        <v>45040</v>
      </c>
      <c r="F44" s="9">
        <v>44599</v>
      </c>
      <c r="G44" s="9">
        <v>40852</v>
      </c>
      <c r="H44" s="9">
        <v>47745</v>
      </c>
      <c r="I44" s="9">
        <v>48604</v>
      </c>
      <c r="J44" s="9">
        <v>35789</v>
      </c>
      <c r="K44" s="9">
        <v>50106</v>
      </c>
      <c r="L44" s="9">
        <v>52432</v>
      </c>
      <c r="M44" s="9">
        <v>59594</v>
      </c>
      <c r="N44" s="9">
        <f t="shared" si="5"/>
        <v>545147</v>
      </c>
    </row>
    <row r="45" spans="1:14" ht="12.75" hidden="1" customHeight="1" outlineLevel="1" x14ac:dyDescent="0.2">
      <c r="A45" s="8" t="s">
        <v>59</v>
      </c>
      <c r="B45" s="9">
        <v>3432</v>
      </c>
      <c r="C45" s="9">
        <v>1197</v>
      </c>
      <c r="D45" s="9">
        <v>2077</v>
      </c>
      <c r="E45" s="9">
        <v>4142</v>
      </c>
      <c r="F45" s="9">
        <v>2899</v>
      </c>
      <c r="G45" s="9">
        <v>42577</v>
      </c>
      <c r="H45" s="9">
        <v>55659</v>
      </c>
      <c r="I45" s="9">
        <v>50511</v>
      </c>
      <c r="J45" s="9">
        <v>36801</v>
      </c>
      <c r="K45" s="9">
        <v>40008</v>
      </c>
      <c r="L45" s="9">
        <v>42456</v>
      </c>
      <c r="M45" s="9">
        <v>39221</v>
      </c>
      <c r="N45" s="9">
        <f t="shared" si="5"/>
        <v>320980</v>
      </c>
    </row>
    <row r="46" spans="1:14" ht="12.75" hidden="1" customHeight="1" outlineLevel="1" x14ac:dyDescent="0.2">
      <c r="A46" s="11" t="s">
        <v>38</v>
      </c>
      <c r="B46" s="9">
        <v>33192</v>
      </c>
      <c r="C46" s="9">
        <v>51565</v>
      </c>
      <c r="D46" s="9">
        <v>63241</v>
      </c>
      <c r="E46" s="9">
        <v>21411</v>
      </c>
      <c r="F46" s="9">
        <v>11386</v>
      </c>
      <c r="G46" s="9">
        <v>23224</v>
      </c>
      <c r="H46" s="9">
        <v>24333</v>
      </c>
      <c r="I46" s="9">
        <v>14388</v>
      </c>
      <c r="J46" s="9">
        <v>4934</v>
      </c>
      <c r="K46" s="9">
        <v>9108</v>
      </c>
      <c r="L46" s="9">
        <v>12175</v>
      </c>
      <c r="M46" s="9">
        <v>20720</v>
      </c>
      <c r="N46" s="9">
        <f t="shared" si="5"/>
        <v>289677</v>
      </c>
    </row>
    <row r="47" spans="1:14" ht="12.75" hidden="1" customHeight="1" outlineLevel="1" x14ac:dyDescent="0.2">
      <c r="A47" s="11" t="s">
        <v>88</v>
      </c>
      <c r="B47" s="9">
        <v>46129</v>
      </c>
      <c r="C47" s="9">
        <v>38792</v>
      </c>
      <c r="D47" s="9">
        <v>43486</v>
      </c>
      <c r="E47" s="9">
        <v>41654</v>
      </c>
      <c r="F47" s="9">
        <v>45236</v>
      </c>
      <c r="G47" s="9">
        <v>49666</v>
      </c>
      <c r="H47" s="9">
        <v>67277</v>
      </c>
      <c r="I47" s="9">
        <v>61571</v>
      </c>
      <c r="J47" s="9">
        <v>47949</v>
      </c>
      <c r="K47" s="9">
        <v>51923</v>
      </c>
      <c r="L47" s="9">
        <v>50323</v>
      </c>
      <c r="M47" s="9">
        <v>75850</v>
      </c>
      <c r="N47" s="9">
        <f t="shared" si="5"/>
        <v>619856</v>
      </c>
    </row>
    <row r="48" spans="1:14" ht="12.75" hidden="1" customHeight="1" outlineLevel="1" x14ac:dyDescent="0.2">
      <c r="A48" s="11" t="s">
        <v>109</v>
      </c>
      <c r="B48" s="9">
        <v>73755</v>
      </c>
      <c r="C48" s="9">
        <v>65994</v>
      </c>
      <c r="D48" s="9">
        <v>90704</v>
      </c>
      <c r="E48" s="9">
        <v>90011</v>
      </c>
      <c r="F48" s="9">
        <v>95517</v>
      </c>
      <c r="G48" s="9">
        <v>119349</v>
      </c>
      <c r="H48" s="9">
        <v>133306</v>
      </c>
      <c r="I48" s="9">
        <v>83835</v>
      </c>
      <c r="J48" s="9">
        <v>56077</v>
      </c>
      <c r="K48" s="9">
        <v>83535</v>
      </c>
      <c r="L48" s="9">
        <v>125858</v>
      </c>
      <c r="M48" s="9">
        <v>137966</v>
      </c>
      <c r="N48" s="9">
        <f t="shared" si="5"/>
        <v>1155907</v>
      </c>
    </row>
    <row r="49" spans="1:14" ht="12.75" hidden="1" customHeight="1" outlineLevel="1" x14ac:dyDescent="0.2">
      <c r="A49" s="11" t="s">
        <v>16</v>
      </c>
      <c r="B49" s="9">
        <v>25908</v>
      </c>
      <c r="C49" s="9">
        <v>23964</v>
      </c>
      <c r="D49" s="9">
        <v>31163</v>
      </c>
      <c r="E49" s="9">
        <v>31221</v>
      </c>
      <c r="F49" s="9">
        <v>37935</v>
      </c>
      <c r="G49" s="9">
        <v>43179</v>
      </c>
      <c r="H49" s="9">
        <v>53221</v>
      </c>
      <c r="I49" s="9">
        <v>51604</v>
      </c>
      <c r="J49" s="9">
        <v>21653</v>
      </c>
      <c r="K49" s="9">
        <v>15538</v>
      </c>
      <c r="L49" s="9">
        <v>24237</v>
      </c>
      <c r="M49" s="9">
        <v>28244</v>
      </c>
      <c r="N49" s="9">
        <f t="shared" si="5"/>
        <v>387867</v>
      </c>
    </row>
    <row r="50" spans="1:14" ht="12.75" hidden="1" customHeight="1" outlineLevel="1" x14ac:dyDescent="0.2">
      <c r="A50" s="11" t="s">
        <v>90</v>
      </c>
      <c r="B50" s="9">
        <v>286711</v>
      </c>
      <c r="C50" s="9">
        <v>262828</v>
      </c>
      <c r="D50" s="9">
        <v>386678</v>
      </c>
      <c r="E50" s="9">
        <v>361132</v>
      </c>
      <c r="F50" s="9">
        <v>335189</v>
      </c>
      <c r="G50" s="9">
        <v>361570</v>
      </c>
      <c r="H50" s="9">
        <v>401516</v>
      </c>
      <c r="I50" s="9">
        <v>358095</v>
      </c>
      <c r="J50" s="9">
        <v>186596</v>
      </c>
      <c r="K50" s="9">
        <v>252597</v>
      </c>
      <c r="L50" s="9">
        <v>349724</v>
      </c>
      <c r="M50" s="9">
        <v>415134</v>
      </c>
      <c r="N50" s="9">
        <f t="shared" si="5"/>
        <v>3957770</v>
      </c>
    </row>
    <row r="51" spans="1:14" ht="12.75" hidden="1" customHeight="1" outlineLevel="1" x14ac:dyDescent="0.2">
      <c r="A51" s="11" t="s">
        <v>30</v>
      </c>
      <c r="B51" s="9">
        <v>145596</v>
      </c>
      <c r="C51" s="9">
        <v>121469</v>
      </c>
      <c r="D51" s="9">
        <v>143747</v>
      </c>
      <c r="E51" s="9">
        <v>137658</v>
      </c>
      <c r="F51" s="9">
        <v>137682</v>
      </c>
      <c r="G51" s="9">
        <v>146457</v>
      </c>
      <c r="H51" s="9">
        <v>156403</v>
      </c>
      <c r="I51" s="9">
        <v>134059</v>
      </c>
      <c r="J51" s="9">
        <v>62678</v>
      </c>
      <c r="K51" s="9">
        <v>94034</v>
      </c>
      <c r="L51" s="9">
        <v>108023</v>
      </c>
      <c r="M51" s="9">
        <v>132991</v>
      </c>
      <c r="N51" s="9">
        <f t="shared" si="5"/>
        <v>1520797</v>
      </c>
    </row>
    <row r="52" spans="1:14" ht="12.75" hidden="1" customHeight="1" outlineLevel="1" x14ac:dyDescent="0.2">
      <c r="A52" s="19" t="s">
        <v>73</v>
      </c>
      <c r="B52" s="9">
        <v>9324</v>
      </c>
      <c r="C52" s="9">
        <v>9290</v>
      </c>
      <c r="D52" s="9">
        <v>11891</v>
      </c>
      <c r="E52" s="9">
        <v>14885</v>
      </c>
      <c r="F52" s="9">
        <v>13783</v>
      </c>
      <c r="G52" s="9">
        <v>16083</v>
      </c>
      <c r="H52" s="9">
        <v>18745</v>
      </c>
      <c r="I52" s="9">
        <v>15561</v>
      </c>
      <c r="J52" s="9">
        <v>8515</v>
      </c>
      <c r="K52" s="9">
        <v>10665</v>
      </c>
      <c r="L52" s="9">
        <v>12765</v>
      </c>
      <c r="M52" s="9">
        <v>14286</v>
      </c>
      <c r="N52" s="9">
        <f t="shared" si="5"/>
        <v>155793</v>
      </c>
    </row>
    <row r="53" spans="1:14" collapsed="1" x14ac:dyDescent="0.2">
      <c r="A53" s="22" t="s">
        <v>55</v>
      </c>
      <c r="B53" s="33">
        <f t="shared" ref="B53:N53" si="6">SUM(B54:B58)</f>
        <v>413859</v>
      </c>
      <c r="C53" s="33">
        <f t="shared" si="6"/>
        <v>386249</v>
      </c>
      <c r="D53" s="33">
        <f t="shared" si="6"/>
        <v>354741</v>
      </c>
      <c r="E53" s="33">
        <f t="shared" si="6"/>
        <v>323781</v>
      </c>
      <c r="F53" s="33">
        <f t="shared" si="6"/>
        <v>142771</v>
      </c>
      <c r="G53" s="33">
        <f t="shared" si="6"/>
        <v>99850</v>
      </c>
      <c r="H53" s="33">
        <f t="shared" si="6"/>
        <v>116885</v>
      </c>
      <c r="I53" s="33">
        <f t="shared" si="6"/>
        <v>128242</v>
      </c>
      <c r="J53" s="33">
        <f t="shared" si="6"/>
        <v>86724</v>
      </c>
      <c r="K53" s="33">
        <f t="shared" si="6"/>
        <v>113846</v>
      </c>
      <c r="L53" s="33">
        <f t="shared" si="6"/>
        <v>262348</v>
      </c>
      <c r="M53" s="33">
        <f t="shared" si="6"/>
        <v>312722</v>
      </c>
      <c r="N53" s="33">
        <f t="shared" si="6"/>
        <v>2742018</v>
      </c>
    </row>
    <row r="54" spans="1:14" ht="12.75" hidden="1" customHeight="1" outlineLevel="1" x14ac:dyDescent="0.2">
      <c r="A54" s="11" t="s">
        <v>12</v>
      </c>
      <c r="B54" s="9">
        <v>79010</v>
      </c>
      <c r="C54" s="9">
        <v>74287</v>
      </c>
      <c r="D54" s="9">
        <v>82758</v>
      </c>
      <c r="E54" s="9">
        <v>60598</v>
      </c>
      <c r="F54" s="9">
        <v>36614</v>
      </c>
      <c r="G54" s="9">
        <v>36464</v>
      </c>
      <c r="H54" s="9">
        <v>44248</v>
      </c>
      <c r="I54" s="9">
        <v>44248</v>
      </c>
      <c r="J54" s="9">
        <v>24737</v>
      </c>
      <c r="K54" s="9">
        <v>27885</v>
      </c>
      <c r="L54" s="9">
        <v>48053</v>
      </c>
      <c r="M54" s="9">
        <v>64030</v>
      </c>
      <c r="N54" s="9">
        <f>SUM(B54:M54)</f>
        <v>622932</v>
      </c>
    </row>
    <row r="55" spans="1:14" ht="12.75" hidden="1" customHeight="1" outlineLevel="1" x14ac:dyDescent="0.2">
      <c r="A55" s="11" t="s">
        <v>68</v>
      </c>
      <c r="B55" s="9">
        <v>84780</v>
      </c>
      <c r="C55" s="9">
        <v>76286</v>
      </c>
      <c r="D55" s="9">
        <v>83059</v>
      </c>
      <c r="E55" s="9">
        <v>66680</v>
      </c>
      <c r="F55" s="9">
        <v>16708</v>
      </c>
      <c r="G55" s="9">
        <v>7638</v>
      </c>
      <c r="H55" s="9">
        <v>11192</v>
      </c>
      <c r="I55" s="9">
        <v>12406</v>
      </c>
      <c r="J55" s="9">
        <v>6028</v>
      </c>
      <c r="K55" s="9">
        <v>7274</v>
      </c>
      <c r="L55" s="9">
        <v>44177</v>
      </c>
      <c r="M55" s="9">
        <v>54452</v>
      </c>
      <c r="N55" s="9">
        <f>SUM(B55:M55)</f>
        <v>470680</v>
      </c>
    </row>
    <row r="56" spans="1:14" ht="12.75" hidden="1" customHeight="1" outlineLevel="1" x14ac:dyDescent="0.2">
      <c r="A56" s="11" t="s">
        <v>179</v>
      </c>
      <c r="B56" s="9">
        <v>0</v>
      </c>
      <c r="C56" s="9">
        <v>0</v>
      </c>
      <c r="D56" s="9">
        <v>0</v>
      </c>
      <c r="E56" s="9">
        <v>4622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f>SUM(B56:M56)</f>
        <v>4622</v>
      </c>
    </row>
    <row r="57" spans="1:14" ht="12.75" hidden="1" customHeight="1" outlineLevel="1" x14ac:dyDescent="0.2">
      <c r="A57" s="11" t="s">
        <v>69</v>
      </c>
      <c r="B57" s="9">
        <v>123689</v>
      </c>
      <c r="C57" s="9">
        <v>109053</v>
      </c>
      <c r="D57" s="9">
        <v>103064</v>
      </c>
      <c r="E57" s="9">
        <v>78453</v>
      </c>
      <c r="F57" s="9">
        <v>44735</v>
      </c>
      <c r="G57" s="9">
        <v>24226</v>
      </c>
      <c r="H57" s="9">
        <v>26869</v>
      </c>
      <c r="I57" s="9">
        <v>32493</v>
      </c>
      <c r="J57" s="9">
        <v>25656</v>
      </c>
      <c r="K57" s="9">
        <v>30013</v>
      </c>
      <c r="L57" s="9">
        <v>62962</v>
      </c>
      <c r="M57" s="9">
        <v>65897</v>
      </c>
      <c r="N57" s="9">
        <f>SUM(B57:M57)</f>
        <v>727110</v>
      </c>
    </row>
    <row r="58" spans="1:14" ht="12.75" hidden="1" customHeight="1" outlineLevel="1" x14ac:dyDescent="0.2">
      <c r="A58" s="13" t="s">
        <v>37</v>
      </c>
      <c r="B58" s="9">
        <v>126380</v>
      </c>
      <c r="C58" s="9">
        <v>126623</v>
      </c>
      <c r="D58" s="9">
        <v>85860</v>
      </c>
      <c r="E58" s="9">
        <v>113428</v>
      </c>
      <c r="F58" s="9">
        <v>44714</v>
      </c>
      <c r="G58" s="9">
        <v>31522</v>
      </c>
      <c r="H58" s="9">
        <v>34576</v>
      </c>
      <c r="I58" s="9">
        <v>39095</v>
      </c>
      <c r="J58" s="9">
        <v>30303</v>
      </c>
      <c r="K58" s="9">
        <v>48674</v>
      </c>
      <c r="L58" s="9">
        <v>107156</v>
      </c>
      <c r="M58" s="9">
        <v>128343</v>
      </c>
      <c r="N58" s="9">
        <f>SUM(B58:M58)</f>
        <v>916674</v>
      </c>
    </row>
    <row r="59" spans="1:14" ht="25.5" collapsed="1" x14ac:dyDescent="0.2">
      <c r="A59" s="22" t="s">
        <v>128</v>
      </c>
      <c r="B59" s="33">
        <f t="shared" ref="B59:N59" si="7">SUM(B60:B72)</f>
        <v>244472</v>
      </c>
      <c r="C59" s="33">
        <f t="shared" si="7"/>
        <v>212864</v>
      </c>
      <c r="D59" s="33">
        <f t="shared" si="7"/>
        <v>227857</v>
      </c>
      <c r="E59" s="33">
        <f t="shared" si="7"/>
        <v>220609</v>
      </c>
      <c r="F59" s="33">
        <f t="shared" si="7"/>
        <v>240119</v>
      </c>
      <c r="G59" s="33">
        <f t="shared" si="7"/>
        <v>235466</v>
      </c>
      <c r="H59" s="33">
        <f t="shared" si="7"/>
        <v>250835</v>
      </c>
      <c r="I59" s="33">
        <f t="shared" si="7"/>
        <v>254203</v>
      </c>
      <c r="J59" s="33">
        <f t="shared" si="7"/>
        <v>233769</v>
      </c>
      <c r="K59" s="33">
        <f t="shared" si="7"/>
        <v>278656</v>
      </c>
      <c r="L59" s="33">
        <f t="shared" si="7"/>
        <v>238648</v>
      </c>
      <c r="M59" s="33">
        <f t="shared" si="7"/>
        <v>246999</v>
      </c>
      <c r="N59" s="33">
        <f t="shared" si="7"/>
        <v>2884497</v>
      </c>
    </row>
    <row r="60" spans="1:14" hidden="1" outlineLevel="1" x14ac:dyDescent="0.2">
      <c r="A60" s="12" t="s">
        <v>94</v>
      </c>
      <c r="B60" s="9">
        <v>6506</v>
      </c>
      <c r="C60" s="9">
        <v>6694</v>
      </c>
      <c r="D60" s="9">
        <v>7198</v>
      </c>
      <c r="E60" s="9">
        <v>8360</v>
      </c>
      <c r="F60" s="9">
        <v>9294</v>
      </c>
      <c r="G60" s="9">
        <v>8004</v>
      </c>
      <c r="H60" s="9">
        <v>9616</v>
      </c>
      <c r="I60" s="9">
        <v>9017</v>
      </c>
      <c r="J60" s="9">
        <v>8828</v>
      </c>
      <c r="K60" s="9">
        <v>8816</v>
      </c>
      <c r="L60" s="9">
        <v>8150</v>
      </c>
      <c r="M60" s="9">
        <v>7811</v>
      </c>
      <c r="N60" s="9">
        <f t="shared" ref="N60:N72" si="8">SUM(B60:M60)</f>
        <v>98294</v>
      </c>
    </row>
    <row r="61" spans="1:14" hidden="1" outlineLevel="1" x14ac:dyDescent="0.2">
      <c r="A61" s="11" t="s">
        <v>76</v>
      </c>
      <c r="B61" s="9">
        <v>10314</v>
      </c>
      <c r="C61" s="9">
        <v>7661</v>
      </c>
      <c r="D61" s="9">
        <v>8850</v>
      </c>
      <c r="E61" s="9">
        <v>4806</v>
      </c>
      <c r="F61" s="9">
        <v>9605</v>
      </c>
      <c r="G61" s="9">
        <v>10316</v>
      </c>
      <c r="H61" s="9">
        <v>5729</v>
      </c>
      <c r="I61" s="9">
        <v>9809</v>
      </c>
      <c r="J61" s="9">
        <v>9536</v>
      </c>
      <c r="K61" s="9">
        <v>9426</v>
      </c>
      <c r="L61" s="9">
        <v>8184</v>
      </c>
      <c r="M61" s="9">
        <v>10749</v>
      </c>
      <c r="N61" s="9">
        <f t="shared" si="8"/>
        <v>104985</v>
      </c>
    </row>
    <row r="62" spans="1:14" hidden="1" outlineLevel="1" x14ac:dyDescent="0.2">
      <c r="A62" s="16" t="s">
        <v>34</v>
      </c>
      <c r="B62" s="9">
        <v>38173</v>
      </c>
      <c r="C62" s="9">
        <v>30293</v>
      </c>
      <c r="D62" s="9">
        <v>35393</v>
      </c>
      <c r="E62" s="9">
        <v>36220</v>
      </c>
      <c r="F62" s="9">
        <v>39752</v>
      </c>
      <c r="G62" s="9">
        <v>39814</v>
      </c>
      <c r="H62" s="9">
        <v>40860</v>
      </c>
      <c r="I62" s="9">
        <v>41447</v>
      </c>
      <c r="J62" s="9">
        <v>36706</v>
      </c>
      <c r="K62" s="9">
        <v>40149</v>
      </c>
      <c r="L62" s="9">
        <v>40346</v>
      </c>
      <c r="M62" s="9">
        <v>40439</v>
      </c>
      <c r="N62" s="9">
        <f t="shared" si="8"/>
        <v>459592</v>
      </c>
    </row>
    <row r="63" spans="1:14" hidden="1" outlineLevel="1" x14ac:dyDescent="0.2">
      <c r="A63" s="16" t="s">
        <v>31</v>
      </c>
      <c r="B63" s="9">
        <v>84465</v>
      </c>
      <c r="C63" s="9">
        <v>72800</v>
      </c>
      <c r="D63" s="9">
        <v>77447</v>
      </c>
      <c r="E63" s="9">
        <v>78367</v>
      </c>
      <c r="F63" s="9">
        <v>79020</v>
      </c>
      <c r="G63" s="9">
        <v>80673</v>
      </c>
      <c r="H63" s="9">
        <v>89092</v>
      </c>
      <c r="I63" s="9">
        <v>91644</v>
      </c>
      <c r="J63" s="9">
        <v>77133</v>
      </c>
      <c r="K63" s="9">
        <v>118800</v>
      </c>
      <c r="L63" s="9">
        <v>81788</v>
      </c>
      <c r="M63" s="9">
        <v>83889</v>
      </c>
      <c r="N63" s="9">
        <f t="shared" si="8"/>
        <v>1015118</v>
      </c>
    </row>
    <row r="64" spans="1:14" hidden="1" outlineLevel="1" x14ac:dyDescent="0.2">
      <c r="A64" s="19" t="s">
        <v>33</v>
      </c>
      <c r="B64" s="9">
        <v>16201</v>
      </c>
      <c r="C64" s="9">
        <v>14822</v>
      </c>
      <c r="D64" s="9">
        <v>17089</v>
      </c>
      <c r="E64" s="9">
        <v>16954</v>
      </c>
      <c r="F64" s="9">
        <v>16423</v>
      </c>
      <c r="G64" s="9">
        <v>14122</v>
      </c>
      <c r="H64" s="9">
        <v>15861</v>
      </c>
      <c r="I64" s="9">
        <v>13868</v>
      </c>
      <c r="J64" s="9">
        <v>16954</v>
      </c>
      <c r="K64" s="9">
        <v>10467</v>
      </c>
      <c r="L64" s="9">
        <v>13327</v>
      </c>
      <c r="M64" s="9">
        <v>14411</v>
      </c>
      <c r="N64" s="9">
        <f t="shared" si="8"/>
        <v>180499</v>
      </c>
    </row>
    <row r="65" spans="1:14" hidden="1" outlineLevel="1" x14ac:dyDescent="0.2">
      <c r="A65" s="16" t="s">
        <v>32</v>
      </c>
      <c r="B65" s="9">
        <v>11256</v>
      </c>
      <c r="C65" s="9">
        <v>6030</v>
      </c>
      <c r="D65" s="9">
        <v>6389</v>
      </c>
      <c r="E65" s="9">
        <v>5951</v>
      </c>
      <c r="F65" s="9">
        <v>7021</v>
      </c>
      <c r="G65" s="9">
        <v>7039</v>
      </c>
      <c r="H65" s="9">
        <v>7176</v>
      </c>
      <c r="I65" s="9">
        <v>6869</v>
      </c>
      <c r="J65" s="9">
        <v>6668</v>
      </c>
      <c r="K65" s="9">
        <v>6726</v>
      </c>
      <c r="L65" s="9">
        <v>7153</v>
      </c>
      <c r="M65" s="9">
        <v>6929</v>
      </c>
      <c r="N65" s="9">
        <f t="shared" si="8"/>
        <v>85207</v>
      </c>
    </row>
    <row r="66" spans="1:14" hidden="1" outlineLevel="1" x14ac:dyDescent="0.2">
      <c r="A66" s="16" t="s">
        <v>62</v>
      </c>
      <c r="B66" s="9">
        <v>16883</v>
      </c>
      <c r="C66" s="9">
        <v>16038</v>
      </c>
      <c r="D66" s="9">
        <v>13461</v>
      </c>
      <c r="E66" s="9">
        <v>12491</v>
      </c>
      <c r="F66" s="9">
        <v>13880</v>
      </c>
      <c r="G66" s="9">
        <v>13714</v>
      </c>
      <c r="H66" s="9">
        <v>14579</v>
      </c>
      <c r="I66" s="9">
        <v>13768</v>
      </c>
      <c r="J66" s="9">
        <v>12845</v>
      </c>
      <c r="K66" s="9">
        <v>14509</v>
      </c>
      <c r="L66" s="9">
        <v>13475</v>
      </c>
      <c r="M66" s="9">
        <v>13658</v>
      </c>
      <c r="N66" s="9">
        <f t="shared" si="8"/>
        <v>169301</v>
      </c>
    </row>
    <row r="67" spans="1:14" hidden="1" outlineLevel="1" x14ac:dyDescent="0.2">
      <c r="A67" s="34" t="s">
        <v>112</v>
      </c>
      <c r="B67" s="9">
        <v>9356</v>
      </c>
      <c r="C67" s="9">
        <v>6831</v>
      </c>
      <c r="D67" s="9">
        <v>6028</v>
      </c>
      <c r="E67" s="9">
        <v>5876</v>
      </c>
      <c r="F67" s="9">
        <v>8714</v>
      </c>
      <c r="G67" s="9">
        <v>8865</v>
      </c>
      <c r="H67" s="9">
        <v>8727</v>
      </c>
      <c r="I67" s="9">
        <v>9041</v>
      </c>
      <c r="J67" s="9">
        <v>7732</v>
      </c>
      <c r="K67" s="9">
        <v>8613</v>
      </c>
      <c r="L67" s="9">
        <v>8214</v>
      </c>
      <c r="M67" s="9">
        <v>7800</v>
      </c>
      <c r="N67" s="9">
        <f t="shared" si="8"/>
        <v>95797</v>
      </c>
    </row>
    <row r="68" spans="1:14" ht="12" hidden="1" customHeight="1" outlineLevel="1" x14ac:dyDescent="0.2">
      <c r="A68" s="16" t="s">
        <v>19</v>
      </c>
      <c r="B68" s="9">
        <v>22775</v>
      </c>
      <c r="C68" s="9">
        <v>25781</v>
      </c>
      <c r="D68" s="9">
        <v>27009</v>
      </c>
      <c r="E68" s="9">
        <v>24328</v>
      </c>
      <c r="F68" s="9">
        <v>26777</v>
      </c>
      <c r="G68" s="9">
        <v>24856</v>
      </c>
      <c r="H68" s="9">
        <v>25318</v>
      </c>
      <c r="I68" s="9">
        <v>26872</v>
      </c>
      <c r="J68" s="9">
        <v>24716</v>
      </c>
      <c r="K68" s="9">
        <v>26312</v>
      </c>
      <c r="L68" s="9">
        <v>24695</v>
      </c>
      <c r="M68" s="9">
        <v>25627</v>
      </c>
      <c r="N68" s="9">
        <f t="shared" si="8"/>
        <v>305066</v>
      </c>
    </row>
    <row r="69" spans="1:14" hidden="1" outlineLevel="1" x14ac:dyDescent="0.2">
      <c r="A69" s="16" t="s">
        <v>36</v>
      </c>
      <c r="B69" s="9">
        <v>8931</v>
      </c>
      <c r="C69" s="9">
        <v>8376</v>
      </c>
      <c r="D69" s="9">
        <v>10666</v>
      </c>
      <c r="E69" s="9">
        <v>9455</v>
      </c>
      <c r="F69" s="9">
        <v>10110</v>
      </c>
      <c r="G69" s="9">
        <v>10072</v>
      </c>
      <c r="H69" s="9">
        <v>11388</v>
      </c>
      <c r="I69" s="9">
        <v>10451</v>
      </c>
      <c r="J69" s="9">
        <v>8986</v>
      </c>
      <c r="K69" s="9">
        <v>9774</v>
      </c>
      <c r="L69" s="9">
        <v>10051</v>
      </c>
      <c r="M69" s="9">
        <v>10886</v>
      </c>
      <c r="N69" s="9">
        <f t="shared" si="8"/>
        <v>119146</v>
      </c>
    </row>
    <row r="70" spans="1:14" hidden="1" outlineLevel="1" x14ac:dyDescent="0.2">
      <c r="A70" s="16" t="s">
        <v>51</v>
      </c>
      <c r="B70" s="9">
        <v>6245</v>
      </c>
      <c r="C70" s="9">
        <v>5778</v>
      </c>
      <c r="D70" s="9">
        <v>6209</v>
      </c>
      <c r="E70" s="9">
        <v>5938</v>
      </c>
      <c r="F70" s="9">
        <v>6071</v>
      </c>
      <c r="G70" s="9">
        <v>5337</v>
      </c>
      <c r="H70" s="9">
        <v>6733</v>
      </c>
      <c r="I70" s="9">
        <v>8674</v>
      </c>
      <c r="J70" s="9">
        <v>8298</v>
      </c>
      <c r="K70" s="9">
        <v>9004</v>
      </c>
      <c r="L70" s="9">
        <v>8665</v>
      </c>
      <c r="M70" s="9">
        <v>8650</v>
      </c>
      <c r="N70" s="9">
        <f t="shared" si="8"/>
        <v>85602</v>
      </c>
    </row>
    <row r="71" spans="1:14" hidden="1" outlineLevel="1" x14ac:dyDescent="0.2">
      <c r="A71" s="17" t="s">
        <v>79</v>
      </c>
      <c r="B71" s="9">
        <v>12659</v>
      </c>
      <c r="C71" s="9">
        <v>11142</v>
      </c>
      <c r="D71" s="9">
        <v>11555</v>
      </c>
      <c r="E71" s="9">
        <v>11328</v>
      </c>
      <c r="F71" s="9">
        <v>13020</v>
      </c>
      <c r="G71" s="9">
        <v>12275</v>
      </c>
      <c r="H71" s="9">
        <v>15298</v>
      </c>
      <c r="I71" s="9">
        <v>12275</v>
      </c>
      <c r="J71" s="9">
        <v>14978</v>
      </c>
      <c r="K71" s="9">
        <v>15647</v>
      </c>
      <c r="L71" s="9">
        <v>14063</v>
      </c>
      <c r="M71" s="9">
        <v>15491</v>
      </c>
      <c r="N71" s="9">
        <f t="shared" si="8"/>
        <v>159731</v>
      </c>
    </row>
    <row r="72" spans="1:14" hidden="1" outlineLevel="1" x14ac:dyDescent="0.2">
      <c r="A72" s="17" t="s">
        <v>89</v>
      </c>
      <c r="B72" s="9">
        <v>708</v>
      </c>
      <c r="C72" s="9">
        <v>618</v>
      </c>
      <c r="D72" s="9">
        <v>563</v>
      </c>
      <c r="E72" s="9">
        <v>535</v>
      </c>
      <c r="F72" s="9">
        <v>432</v>
      </c>
      <c r="G72" s="9">
        <v>379</v>
      </c>
      <c r="H72" s="9">
        <v>458</v>
      </c>
      <c r="I72" s="9">
        <v>468</v>
      </c>
      <c r="J72" s="9">
        <v>389</v>
      </c>
      <c r="K72" s="9">
        <v>413</v>
      </c>
      <c r="L72" s="9">
        <v>537</v>
      </c>
      <c r="M72" s="9">
        <v>659</v>
      </c>
      <c r="N72" s="9">
        <f t="shared" si="8"/>
        <v>6159</v>
      </c>
    </row>
    <row r="73" spans="1:14" collapsed="1" x14ac:dyDescent="0.2">
      <c r="A73" s="22" t="s">
        <v>54</v>
      </c>
      <c r="B73" s="33">
        <f t="shared" ref="B73:N73" si="9">SUM(B74:B91)</f>
        <v>180004</v>
      </c>
      <c r="C73" s="33">
        <f t="shared" si="9"/>
        <v>152292</v>
      </c>
      <c r="D73" s="33">
        <f t="shared" si="9"/>
        <v>182636</v>
      </c>
      <c r="E73" s="33">
        <f t="shared" si="9"/>
        <v>180376</v>
      </c>
      <c r="F73" s="33">
        <f t="shared" si="9"/>
        <v>186095</v>
      </c>
      <c r="G73" s="33">
        <f t="shared" si="9"/>
        <v>198888</v>
      </c>
      <c r="H73" s="33">
        <f t="shared" si="9"/>
        <v>244818</v>
      </c>
      <c r="I73" s="33">
        <f t="shared" si="9"/>
        <v>238226</v>
      </c>
      <c r="J73" s="33">
        <f t="shared" si="9"/>
        <v>200310</v>
      </c>
      <c r="K73" s="33">
        <f t="shared" si="9"/>
        <v>194568</v>
      </c>
      <c r="L73" s="33">
        <f t="shared" si="9"/>
        <v>179115</v>
      </c>
      <c r="M73" s="33">
        <f t="shared" si="9"/>
        <v>177020</v>
      </c>
      <c r="N73" s="33">
        <f t="shared" si="9"/>
        <v>2314348</v>
      </c>
    </row>
    <row r="74" spans="1:14" hidden="1" outlineLevel="1" x14ac:dyDescent="0.2">
      <c r="A74" s="11" t="s">
        <v>67</v>
      </c>
      <c r="B74" s="9">
        <v>6628</v>
      </c>
      <c r="C74" s="9">
        <v>6155</v>
      </c>
      <c r="D74" s="9">
        <v>6722</v>
      </c>
      <c r="E74" s="9">
        <v>6845</v>
      </c>
      <c r="F74" s="9">
        <v>4941</v>
      </c>
      <c r="G74" s="9">
        <v>4756</v>
      </c>
      <c r="H74" s="9">
        <v>4450</v>
      </c>
      <c r="I74" s="9">
        <v>5426</v>
      </c>
      <c r="J74" s="9">
        <v>4276</v>
      </c>
      <c r="K74" s="9">
        <v>4832</v>
      </c>
      <c r="L74" s="9">
        <v>6537</v>
      </c>
      <c r="M74" s="9">
        <v>6394</v>
      </c>
      <c r="N74" s="9">
        <f t="shared" ref="N74:N91" si="10">SUM(B74:M74)</f>
        <v>67962</v>
      </c>
    </row>
    <row r="75" spans="1:14" hidden="1" outlineLevel="1" x14ac:dyDescent="0.2">
      <c r="A75" s="11" t="s">
        <v>39</v>
      </c>
      <c r="B75" s="9">
        <v>8516</v>
      </c>
      <c r="C75" s="9">
        <v>7889</v>
      </c>
      <c r="D75" s="9">
        <v>8548</v>
      </c>
      <c r="E75" s="9">
        <v>7473</v>
      </c>
      <c r="F75" s="9">
        <v>9524</v>
      </c>
      <c r="G75" s="9">
        <v>10047</v>
      </c>
      <c r="H75" s="9">
        <v>18190</v>
      </c>
      <c r="I75" s="9">
        <v>19935</v>
      </c>
      <c r="J75" s="9">
        <v>13409</v>
      </c>
      <c r="K75" s="9">
        <v>10436</v>
      </c>
      <c r="L75" s="9">
        <v>8562</v>
      </c>
      <c r="M75" s="9">
        <v>7797</v>
      </c>
      <c r="N75" s="9">
        <f t="shared" si="10"/>
        <v>130326</v>
      </c>
    </row>
    <row r="76" spans="1:14" hidden="1" outlineLevel="1" x14ac:dyDescent="0.2">
      <c r="A76" s="11" t="s">
        <v>65</v>
      </c>
      <c r="B76" s="9">
        <v>22858</v>
      </c>
      <c r="C76" s="9">
        <v>18581</v>
      </c>
      <c r="D76" s="9">
        <v>24499</v>
      </c>
      <c r="E76" s="9">
        <v>21544</v>
      </c>
      <c r="F76" s="9">
        <v>20335</v>
      </c>
      <c r="G76" s="9">
        <v>22176</v>
      </c>
      <c r="H76" s="9">
        <v>25967</v>
      </c>
      <c r="I76" s="9">
        <v>24525</v>
      </c>
      <c r="J76" s="9">
        <v>22697</v>
      </c>
      <c r="K76" s="9">
        <v>23863</v>
      </c>
      <c r="L76" s="9">
        <v>23036</v>
      </c>
      <c r="M76" s="9">
        <v>23668</v>
      </c>
      <c r="N76" s="9">
        <f t="shared" si="10"/>
        <v>273749</v>
      </c>
    </row>
    <row r="77" spans="1:14" hidden="1" outlineLevel="1" x14ac:dyDescent="0.2">
      <c r="A77" s="12" t="s">
        <v>56</v>
      </c>
      <c r="B77" s="9">
        <v>1419</v>
      </c>
      <c r="C77" s="9">
        <v>311</v>
      </c>
      <c r="D77" s="9">
        <v>1637</v>
      </c>
      <c r="E77" s="9">
        <v>2008</v>
      </c>
      <c r="F77" s="9">
        <v>3062</v>
      </c>
      <c r="G77" s="9">
        <v>2835</v>
      </c>
      <c r="H77" s="9">
        <v>3124</v>
      </c>
      <c r="I77" s="9">
        <v>4651</v>
      </c>
      <c r="J77" s="9">
        <v>2299</v>
      </c>
      <c r="K77" s="9">
        <v>2211</v>
      </c>
      <c r="L77" s="9">
        <v>2785</v>
      </c>
      <c r="M77" s="9">
        <v>2002</v>
      </c>
      <c r="N77" s="9">
        <f t="shared" si="10"/>
        <v>28344</v>
      </c>
    </row>
    <row r="78" spans="1:14" hidden="1" outlineLevel="1" x14ac:dyDescent="0.2">
      <c r="A78" s="11" t="s">
        <v>20</v>
      </c>
      <c r="B78" s="9">
        <v>16594</v>
      </c>
      <c r="C78" s="9">
        <v>13959</v>
      </c>
      <c r="D78" s="9">
        <v>17813</v>
      </c>
      <c r="E78" s="9">
        <v>17623</v>
      </c>
      <c r="F78" s="9">
        <v>18151</v>
      </c>
      <c r="G78" s="9">
        <v>21322</v>
      </c>
      <c r="H78" s="9">
        <v>24030</v>
      </c>
      <c r="I78" s="9">
        <v>21949</v>
      </c>
      <c r="J78" s="9">
        <v>20414</v>
      </c>
      <c r="K78" s="9">
        <v>19927</v>
      </c>
      <c r="L78" s="9">
        <v>17956</v>
      </c>
      <c r="M78" s="9">
        <v>16341</v>
      </c>
      <c r="N78" s="9">
        <f t="shared" si="10"/>
        <v>226079</v>
      </c>
    </row>
    <row r="79" spans="1:14" hidden="1" outlineLevel="1" x14ac:dyDescent="0.2">
      <c r="A79" s="11" t="s">
        <v>106</v>
      </c>
      <c r="B79" s="9">
        <v>4252</v>
      </c>
      <c r="C79" s="9">
        <v>3820</v>
      </c>
      <c r="D79" s="9">
        <v>5008</v>
      </c>
      <c r="E79" s="9">
        <v>5404</v>
      </c>
      <c r="F79" s="9">
        <v>5667</v>
      </c>
      <c r="G79" s="9">
        <v>6370</v>
      </c>
      <c r="H79" s="9">
        <v>12154</v>
      </c>
      <c r="I79" s="9">
        <v>13281</v>
      </c>
      <c r="J79" s="9">
        <v>10636</v>
      </c>
      <c r="K79" s="9">
        <v>6752</v>
      </c>
      <c r="L79" s="9">
        <v>5124</v>
      </c>
      <c r="M79" s="9">
        <v>5247</v>
      </c>
      <c r="N79" s="9">
        <f t="shared" si="10"/>
        <v>83715</v>
      </c>
    </row>
    <row r="80" spans="1:14" hidden="1" outlineLevel="1" x14ac:dyDescent="0.2">
      <c r="A80" s="11" t="s">
        <v>64</v>
      </c>
      <c r="B80" s="9">
        <v>27553</v>
      </c>
      <c r="C80" s="9">
        <v>23571</v>
      </c>
      <c r="D80" s="9">
        <v>30476</v>
      </c>
      <c r="E80" s="9">
        <v>32574</v>
      </c>
      <c r="F80" s="9">
        <v>33620</v>
      </c>
      <c r="G80" s="9">
        <v>36769</v>
      </c>
      <c r="H80" s="9">
        <v>40293</v>
      </c>
      <c r="I80" s="9">
        <v>36613</v>
      </c>
      <c r="J80" s="9">
        <v>35033</v>
      </c>
      <c r="K80" s="9">
        <v>35405</v>
      </c>
      <c r="L80" s="9">
        <v>32836</v>
      </c>
      <c r="M80" s="9">
        <v>33915</v>
      </c>
      <c r="N80" s="9">
        <f t="shared" si="10"/>
        <v>398658</v>
      </c>
    </row>
    <row r="81" spans="1:14" hidden="1" outlineLevel="1" x14ac:dyDescent="0.2">
      <c r="A81" s="11" t="s">
        <v>35</v>
      </c>
      <c r="B81" s="9">
        <v>16916</v>
      </c>
      <c r="C81" s="9">
        <v>13988</v>
      </c>
      <c r="D81" s="9">
        <v>15786</v>
      </c>
      <c r="E81" s="9">
        <v>15022</v>
      </c>
      <c r="F81" s="9">
        <v>15881</v>
      </c>
      <c r="G81" s="9">
        <v>16409</v>
      </c>
      <c r="H81" s="9">
        <v>20968</v>
      </c>
      <c r="I81" s="9">
        <v>19379</v>
      </c>
      <c r="J81" s="9">
        <v>16182</v>
      </c>
      <c r="K81" s="9">
        <v>15779</v>
      </c>
      <c r="L81" s="9">
        <v>17060</v>
      </c>
      <c r="M81" s="9">
        <v>17136</v>
      </c>
      <c r="N81" s="9">
        <f t="shared" si="10"/>
        <v>200506</v>
      </c>
    </row>
    <row r="82" spans="1:14" hidden="1" outlineLevel="1" x14ac:dyDescent="0.2">
      <c r="A82" s="11" t="s">
        <v>66</v>
      </c>
      <c r="B82" s="9">
        <v>27297</v>
      </c>
      <c r="C82" s="9">
        <v>23318</v>
      </c>
      <c r="D82" s="9">
        <v>28308</v>
      </c>
      <c r="E82" s="9">
        <v>26362</v>
      </c>
      <c r="F82" s="9">
        <v>28415</v>
      </c>
      <c r="G82" s="9">
        <v>30078</v>
      </c>
      <c r="H82" s="9">
        <v>33367</v>
      </c>
      <c r="I82" s="9">
        <v>29619</v>
      </c>
      <c r="J82" s="9">
        <v>26869</v>
      </c>
      <c r="K82" s="9">
        <v>29691</v>
      </c>
      <c r="L82" s="9">
        <v>23480</v>
      </c>
      <c r="M82" s="9">
        <v>26180</v>
      </c>
      <c r="N82" s="9">
        <f t="shared" si="10"/>
        <v>332984</v>
      </c>
    </row>
    <row r="83" spans="1:14" hidden="1" outlineLevel="1" x14ac:dyDescent="0.2">
      <c r="A83" s="12" t="s">
        <v>48</v>
      </c>
      <c r="B83" s="9">
        <v>6789</v>
      </c>
      <c r="C83" s="9">
        <v>5580</v>
      </c>
      <c r="D83" s="9">
        <v>6266</v>
      </c>
      <c r="E83" s="9">
        <v>6231</v>
      </c>
      <c r="F83" s="9">
        <v>2146</v>
      </c>
      <c r="G83" s="9">
        <v>3545</v>
      </c>
      <c r="H83" s="9">
        <v>5212</v>
      </c>
      <c r="I83" s="9">
        <v>4437</v>
      </c>
      <c r="J83" s="9">
        <v>2547</v>
      </c>
      <c r="K83" s="9">
        <v>2699</v>
      </c>
      <c r="L83" s="9">
        <v>3539</v>
      </c>
      <c r="M83" s="9">
        <v>4521</v>
      </c>
      <c r="N83" s="9">
        <f t="shared" si="10"/>
        <v>53512</v>
      </c>
    </row>
    <row r="84" spans="1:14" hidden="1" outlineLevel="1" x14ac:dyDescent="0.2">
      <c r="A84" s="18" t="s">
        <v>26</v>
      </c>
      <c r="B84" s="9">
        <v>4060</v>
      </c>
      <c r="C84" s="9">
        <v>4039</v>
      </c>
      <c r="D84" s="9">
        <v>4670</v>
      </c>
      <c r="E84" s="9">
        <v>3954</v>
      </c>
      <c r="F84" s="9">
        <v>4687</v>
      </c>
      <c r="G84" s="9">
        <v>10130</v>
      </c>
      <c r="H84" s="9">
        <v>15531</v>
      </c>
      <c r="I84" s="9">
        <v>18267</v>
      </c>
      <c r="J84" s="9">
        <v>10035</v>
      </c>
      <c r="K84" s="9">
        <v>0</v>
      </c>
      <c r="L84" s="9">
        <v>0</v>
      </c>
      <c r="M84" s="9">
        <v>0</v>
      </c>
      <c r="N84" s="9">
        <f t="shared" si="10"/>
        <v>75373</v>
      </c>
    </row>
    <row r="85" spans="1:14" hidden="1" outlineLevel="1" x14ac:dyDescent="0.2">
      <c r="A85" s="18" t="s">
        <v>44</v>
      </c>
      <c r="B85" s="9">
        <v>10502</v>
      </c>
      <c r="C85" s="9">
        <v>8648</v>
      </c>
      <c r="D85" s="9">
        <v>9866</v>
      </c>
      <c r="E85" s="9">
        <v>9981</v>
      </c>
      <c r="F85" s="9">
        <v>13555</v>
      </c>
      <c r="G85" s="9">
        <v>13040</v>
      </c>
      <c r="H85" s="9">
        <v>16842</v>
      </c>
      <c r="I85" s="9">
        <v>15383</v>
      </c>
      <c r="J85" s="9">
        <v>15494</v>
      </c>
      <c r="K85" s="9">
        <v>16930</v>
      </c>
      <c r="L85" s="9">
        <v>13766</v>
      </c>
      <c r="M85" s="9">
        <v>14033</v>
      </c>
      <c r="N85" s="9">
        <f t="shared" si="10"/>
        <v>158040</v>
      </c>
    </row>
    <row r="86" spans="1:14" hidden="1" outlineLevel="1" x14ac:dyDescent="0.2">
      <c r="A86" s="12" t="s">
        <v>70</v>
      </c>
      <c r="B86" s="9">
        <v>4482</v>
      </c>
      <c r="C86" s="9">
        <v>1867</v>
      </c>
      <c r="D86" s="9">
        <v>1111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f t="shared" si="10"/>
        <v>7460</v>
      </c>
    </row>
    <row r="87" spans="1:14" hidden="1" outlineLevel="1" x14ac:dyDescent="0.2">
      <c r="A87" s="11" t="s">
        <v>22</v>
      </c>
      <c r="B87" s="9">
        <v>2996</v>
      </c>
      <c r="C87" s="9">
        <v>2519</v>
      </c>
      <c r="D87" s="9">
        <v>2535</v>
      </c>
      <c r="E87" s="9">
        <v>2143</v>
      </c>
      <c r="F87" s="9">
        <v>2427</v>
      </c>
      <c r="G87" s="9">
        <v>2861</v>
      </c>
      <c r="H87" s="9">
        <v>3426</v>
      </c>
      <c r="I87" s="9">
        <v>3407</v>
      </c>
      <c r="J87" s="9">
        <v>2697</v>
      </c>
      <c r="K87" s="9">
        <v>2967</v>
      </c>
      <c r="L87" s="9">
        <v>2658</v>
      </c>
      <c r="M87" s="9">
        <v>2456</v>
      </c>
      <c r="N87" s="9">
        <f t="shared" si="10"/>
        <v>33092</v>
      </c>
    </row>
    <row r="88" spans="1:14" hidden="1" outlineLevel="1" x14ac:dyDescent="0.2">
      <c r="A88" s="11" t="s">
        <v>21</v>
      </c>
      <c r="B88" s="9">
        <v>3932</v>
      </c>
      <c r="C88" s="9">
        <v>3502</v>
      </c>
      <c r="D88" s="9">
        <v>3356</v>
      </c>
      <c r="E88" s="9">
        <v>3907</v>
      </c>
      <c r="F88" s="9">
        <v>4368</v>
      </c>
      <c r="G88" s="9">
        <v>4481</v>
      </c>
      <c r="H88" s="9">
        <v>4253</v>
      </c>
      <c r="I88" s="9">
        <v>4244</v>
      </c>
      <c r="J88" s="9">
        <v>4171</v>
      </c>
      <c r="K88" s="9">
        <v>4050</v>
      </c>
      <c r="L88" s="9">
        <v>3502</v>
      </c>
      <c r="M88" s="9">
        <v>3716</v>
      </c>
      <c r="N88" s="9">
        <f t="shared" si="10"/>
        <v>47482</v>
      </c>
    </row>
    <row r="89" spans="1:14" s="1" customFormat="1" hidden="1" outlineLevel="1" x14ac:dyDescent="0.2">
      <c r="A89" s="12" t="s">
        <v>81</v>
      </c>
      <c r="B89" s="9">
        <v>5617</v>
      </c>
      <c r="C89" s="9">
        <v>5388</v>
      </c>
      <c r="D89" s="9">
        <v>6542</v>
      </c>
      <c r="E89" s="9">
        <v>10365</v>
      </c>
      <c r="F89" s="9">
        <v>10439</v>
      </c>
      <c r="G89" s="9">
        <v>9905</v>
      </c>
      <c r="H89" s="9">
        <v>11401</v>
      </c>
      <c r="I89" s="9">
        <v>11203</v>
      </c>
      <c r="J89" s="9">
        <v>11200</v>
      </c>
      <c r="K89" s="9">
        <v>10915</v>
      </c>
      <c r="L89" s="9">
        <v>7275</v>
      </c>
      <c r="M89" s="9">
        <v>4959</v>
      </c>
      <c r="N89" s="9">
        <f t="shared" si="10"/>
        <v>105209</v>
      </c>
    </row>
    <row r="90" spans="1:14" s="1" customFormat="1" hidden="1" outlineLevel="1" x14ac:dyDescent="0.2">
      <c r="A90" s="45" t="s">
        <v>198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46">
        <v>4388</v>
      </c>
      <c r="L90" s="9">
        <v>4740</v>
      </c>
      <c r="M90" s="9">
        <v>3760</v>
      </c>
      <c r="N90" s="9">
        <f t="shared" si="10"/>
        <v>12888</v>
      </c>
    </row>
    <row r="91" spans="1:14" hidden="1" outlineLevel="1" x14ac:dyDescent="0.2">
      <c r="A91" s="11" t="s">
        <v>41</v>
      </c>
      <c r="B91" s="9">
        <v>9593</v>
      </c>
      <c r="C91" s="9">
        <v>9157</v>
      </c>
      <c r="D91" s="9">
        <v>9493</v>
      </c>
      <c r="E91" s="9">
        <v>8940</v>
      </c>
      <c r="F91" s="9">
        <v>8877</v>
      </c>
      <c r="G91" s="9">
        <v>4164</v>
      </c>
      <c r="H91" s="9">
        <v>5610</v>
      </c>
      <c r="I91" s="9">
        <v>5907</v>
      </c>
      <c r="J91" s="9">
        <v>2351</v>
      </c>
      <c r="K91" s="9">
        <v>3723</v>
      </c>
      <c r="L91" s="9">
        <v>6259</v>
      </c>
      <c r="M91" s="9">
        <v>4895</v>
      </c>
      <c r="N91" s="9">
        <f t="shared" si="10"/>
        <v>78969</v>
      </c>
    </row>
    <row r="92" spans="1:14" collapsed="1" x14ac:dyDescent="0.2">
      <c r="A92" s="20" t="s">
        <v>0</v>
      </c>
      <c r="B92" s="21">
        <f t="shared" ref="B92:N92" si="11">B36+B53+B59+B73</f>
        <v>2443287</v>
      </c>
      <c r="C92" s="21">
        <f t="shared" si="11"/>
        <v>2202920</v>
      </c>
      <c r="D92" s="21">
        <f t="shared" si="11"/>
        <v>2568885</v>
      </c>
      <c r="E92" s="21">
        <f t="shared" si="11"/>
        <v>2283456</v>
      </c>
      <c r="F92" s="21">
        <f t="shared" si="11"/>
        <v>2010721</v>
      </c>
      <c r="G92" s="21">
        <f t="shared" si="11"/>
        <v>2132092</v>
      </c>
      <c r="H92" s="21">
        <f t="shared" si="11"/>
        <v>2409050</v>
      </c>
      <c r="I92" s="21">
        <f t="shared" si="11"/>
        <v>2211719</v>
      </c>
      <c r="J92" s="21">
        <f t="shared" si="11"/>
        <v>1548183</v>
      </c>
      <c r="K92" s="21">
        <f t="shared" si="11"/>
        <v>1848620</v>
      </c>
      <c r="L92" s="21">
        <f t="shared" si="11"/>
        <v>2173728</v>
      </c>
      <c r="M92" s="21">
        <f t="shared" si="11"/>
        <v>2465320</v>
      </c>
      <c r="N92" s="21">
        <f t="shared" si="11"/>
        <v>26297981</v>
      </c>
    </row>
    <row r="93" spans="1:14" x14ac:dyDescent="0.2">
      <c r="N93" s="37"/>
    </row>
    <row r="94" spans="1:14" x14ac:dyDescent="0.2"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</row>
    <row r="95" spans="1:14" x14ac:dyDescent="0.2">
      <c r="B95" s="5"/>
      <c r="C95" s="5"/>
      <c r="D95" s="5"/>
    </row>
    <row r="96" spans="1:14" x14ac:dyDescent="0.2">
      <c r="N96" s="37"/>
    </row>
  </sheetData>
  <sortState ref="A37:N53">
    <sortCondition ref="A37"/>
  </sortState>
  <pageMargins left="0.75" right="0.75" top="1" bottom="1" header="0" footer="0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1"/>
  <sheetViews>
    <sheetView zoomScale="80" zoomScaleNormal="80" workbookViewId="0">
      <pane xSplit="1" topLeftCell="B1" activePane="topRight" state="frozen"/>
      <selection pane="topRight" activeCell="B1" sqref="B1"/>
    </sheetView>
  </sheetViews>
  <sheetFormatPr baseColWidth="10" defaultRowHeight="12.75" outlineLevelRow="1" x14ac:dyDescent="0.2"/>
  <cols>
    <col min="1" max="1" width="47.140625" customWidth="1"/>
    <col min="2" max="14" width="14.28515625" customWidth="1"/>
  </cols>
  <sheetData>
    <row r="1" spans="1:14" ht="15.75" x14ac:dyDescent="0.25">
      <c r="B1" s="25" t="s">
        <v>116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30">
        <v>2015</v>
      </c>
    </row>
    <row r="2" spans="1:14" x14ac:dyDescent="0.2">
      <c r="B2" s="26" t="s">
        <v>129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4" ht="15" x14ac:dyDescent="0.25">
      <c r="B3" s="27" t="s">
        <v>133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4" x14ac:dyDescent="0.2">
      <c r="B4" s="28" t="s">
        <v>117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1:14" x14ac:dyDescent="0.2">
      <c r="A5" s="3"/>
      <c r="B5" s="6" t="s">
        <v>130</v>
      </c>
    </row>
    <row r="6" spans="1:14" x14ac:dyDescent="0.2">
      <c r="A6" s="23" t="s">
        <v>82</v>
      </c>
      <c r="B6" s="23" t="s">
        <v>83</v>
      </c>
      <c r="C6" s="23" t="s">
        <v>84</v>
      </c>
      <c r="D6" s="23" t="s">
        <v>118</v>
      </c>
      <c r="E6" s="23" t="s">
        <v>85</v>
      </c>
      <c r="F6" s="23" t="s">
        <v>86</v>
      </c>
      <c r="G6" s="23" t="s">
        <v>87</v>
      </c>
      <c r="H6" s="23" t="s">
        <v>119</v>
      </c>
      <c r="I6" s="23" t="s">
        <v>120</v>
      </c>
      <c r="J6" s="23" t="s">
        <v>121</v>
      </c>
      <c r="K6" s="23" t="s">
        <v>122</v>
      </c>
      <c r="L6" s="23" t="s">
        <v>123</v>
      </c>
      <c r="M6" s="23" t="s">
        <v>124</v>
      </c>
      <c r="N6" s="23" t="s">
        <v>125</v>
      </c>
    </row>
    <row r="7" spans="1:14" x14ac:dyDescent="0.2">
      <c r="A7" s="14" t="s">
        <v>108</v>
      </c>
      <c r="B7" s="9">
        <v>950</v>
      </c>
      <c r="C7" s="9">
        <v>94</v>
      </c>
      <c r="D7" s="9">
        <v>362</v>
      </c>
      <c r="E7" s="9">
        <v>1836</v>
      </c>
      <c r="F7" s="9">
        <v>3380</v>
      </c>
      <c r="G7" s="9">
        <v>2266</v>
      </c>
      <c r="H7" s="9">
        <v>4244</v>
      </c>
      <c r="I7" s="9">
        <v>3237</v>
      </c>
      <c r="J7" s="9">
        <v>2848</v>
      </c>
      <c r="K7" s="9">
        <v>4213</v>
      </c>
      <c r="L7" s="9">
        <v>4643.2</v>
      </c>
      <c r="M7" s="9">
        <v>5398</v>
      </c>
      <c r="N7" s="9">
        <f t="shared" ref="N7:N15" si="0">SUM(B7:M7)</f>
        <v>33471.199999999997</v>
      </c>
    </row>
    <row r="8" spans="1:14" x14ac:dyDescent="0.2">
      <c r="A8" s="2" t="s">
        <v>4</v>
      </c>
      <c r="B8" s="9">
        <v>88993</v>
      </c>
      <c r="C8" s="9">
        <v>93247</v>
      </c>
      <c r="D8" s="9">
        <v>84419</v>
      </c>
      <c r="E8" s="9">
        <v>97361</v>
      </c>
      <c r="F8" s="9">
        <v>95916</v>
      </c>
      <c r="G8" s="9">
        <v>89526</v>
      </c>
      <c r="H8" s="9">
        <v>93912</v>
      </c>
      <c r="I8" s="9">
        <v>95859</v>
      </c>
      <c r="J8" s="9">
        <v>96164</v>
      </c>
      <c r="K8" s="9">
        <v>101879</v>
      </c>
      <c r="L8" s="9">
        <v>85334</v>
      </c>
      <c r="M8" s="9">
        <v>94287</v>
      </c>
      <c r="N8" s="9">
        <f t="shared" si="0"/>
        <v>1116897</v>
      </c>
    </row>
    <row r="9" spans="1:14" s="1" customFormat="1" x14ac:dyDescent="0.2">
      <c r="A9" s="2" t="s">
        <v>2</v>
      </c>
      <c r="B9" s="9">
        <v>1753469</v>
      </c>
      <c r="C9" s="9">
        <v>1793554</v>
      </c>
      <c r="D9" s="9">
        <v>2059368</v>
      </c>
      <c r="E9" s="9">
        <v>2079189</v>
      </c>
      <c r="F9" s="9">
        <v>2317736</v>
      </c>
      <c r="G9" s="9">
        <v>2219823</v>
      </c>
      <c r="H9" s="9">
        <v>2106942</v>
      </c>
      <c r="I9" s="9">
        <v>1990538</v>
      </c>
      <c r="J9" s="9">
        <v>2131035</v>
      </c>
      <c r="K9" s="9">
        <v>2273998</v>
      </c>
      <c r="L9" s="9">
        <v>2263490</v>
      </c>
      <c r="M9" s="9">
        <v>2130043</v>
      </c>
      <c r="N9" s="9">
        <f t="shared" si="0"/>
        <v>25119185</v>
      </c>
    </row>
    <row r="10" spans="1:14" s="1" customFormat="1" x14ac:dyDescent="0.2">
      <c r="A10" s="2" t="s">
        <v>1</v>
      </c>
      <c r="B10" s="9">
        <v>1212568.3633999978</v>
      </c>
      <c r="C10" s="9">
        <v>1100143.9846000015</v>
      </c>
      <c r="D10" s="9">
        <v>1268055.8910000003</v>
      </c>
      <c r="E10" s="9">
        <v>1312981.2036000013</v>
      </c>
      <c r="F10" s="9">
        <v>1100226.7770000014</v>
      </c>
      <c r="G10" s="9">
        <v>1237220</v>
      </c>
      <c r="H10" s="9">
        <v>1396269.9185000025</v>
      </c>
      <c r="I10" s="9">
        <v>1282872</v>
      </c>
      <c r="J10" s="9">
        <v>1272947.9162000003</v>
      </c>
      <c r="K10" s="9">
        <v>1478736</v>
      </c>
      <c r="L10" s="9">
        <v>1363371.5953999993</v>
      </c>
      <c r="M10" s="9">
        <v>1467228.6974999981</v>
      </c>
      <c r="N10" s="9">
        <f t="shared" si="0"/>
        <v>15492622.347200004</v>
      </c>
    </row>
    <row r="11" spans="1:14" s="1" customFormat="1" x14ac:dyDescent="0.2">
      <c r="A11" s="2" t="s">
        <v>57</v>
      </c>
      <c r="B11" s="9">
        <v>1585071.8181818181</v>
      </c>
      <c r="C11" s="9">
        <v>1366606</v>
      </c>
      <c r="D11" s="9">
        <v>1536196.4545454544</v>
      </c>
      <c r="E11" s="9">
        <v>1633374.7272727273</v>
      </c>
      <c r="F11" s="9">
        <v>1655614.3636363638</v>
      </c>
      <c r="G11" s="9">
        <v>1524329.9090909092</v>
      </c>
      <c r="H11" s="9">
        <v>1542763.5454545454</v>
      </c>
      <c r="I11" s="9">
        <v>1727971.7272727271</v>
      </c>
      <c r="J11" s="9">
        <v>1421422.7272727268</v>
      </c>
      <c r="K11" s="9">
        <v>1512754</v>
      </c>
      <c r="L11" s="9">
        <v>1458223</v>
      </c>
      <c r="M11" s="9">
        <v>1721875.4545454546</v>
      </c>
      <c r="N11" s="9">
        <f t="shared" si="0"/>
        <v>18686203.727272727</v>
      </c>
    </row>
    <row r="12" spans="1:14" s="1" customFormat="1" x14ac:dyDescent="0.2">
      <c r="A12" s="2" t="s">
        <v>28</v>
      </c>
      <c r="B12" s="9">
        <v>2209792</v>
      </c>
      <c r="C12" s="9">
        <v>2116221</v>
      </c>
      <c r="D12" s="9">
        <v>2312645</v>
      </c>
      <c r="E12" s="9">
        <v>2354559</v>
      </c>
      <c r="F12" s="9">
        <v>2252512</v>
      </c>
      <c r="G12" s="9">
        <v>2337564</v>
      </c>
      <c r="H12" s="9">
        <v>2526234</v>
      </c>
      <c r="I12" s="9">
        <v>2105026</v>
      </c>
      <c r="J12" s="9">
        <v>2162705</v>
      </c>
      <c r="K12" s="9">
        <v>2422090</v>
      </c>
      <c r="L12" s="9">
        <v>2233990</v>
      </c>
      <c r="M12" s="9">
        <v>2584108</v>
      </c>
      <c r="N12" s="9">
        <f t="shared" si="0"/>
        <v>27617446</v>
      </c>
    </row>
    <row r="13" spans="1:14" s="1" customFormat="1" x14ac:dyDescent="0.2">
      <c r="A13" s="2" t="s">
        <v>3</v>
      </c>
      <c r="B13" s="9">
        <v>848527</v>
      </c>
      <c r="C13" s="9">
        <v>899592</v>
      </c>
      <c r="D13" s="9">
        <v>1126863</v>
      </c>
      <c r="E13" s="9">
        <v>1133454</v>
      </c>
      <c r="F13" s="9">
        <v>1066348</v>
      </c>
      <c r="G13" s="9">
        <v>1052588</v>
      </c>
      <c r="H13" s="9">
        <v>1024847</v>
      </c>
      <c r="I13" s="9">
        <v>964874</v>
      </c>
      <c r="J13" s="9">
        <v>1024793</v>
      </c>
      <c r="K13" s="9">
        <v>1235633</v>
      </c>
      <c r="L13" s="9">
        <v>1203387</v>
      </c>
      <c r="M13" s="9">
        <v>1204172</v>
      </c>
      <c r="N13" s="9">
        <f t="shared" si="0"/>
        <v>12785078</v>
      </c>
    </row>
    <row r="14" spans="1:14" s="1" customFormat="1" x14ac:dyDescent="0.2">
      <c r="A14" s="2" t="s">
        <v>29</v>
      </c>
      <c r="B14" s="9">
        <v>1167641</v>
      </c>
      <c r="C14" s="9">
        <v>868776</v>
      </c>
      <c r="D14" s="9">
        <v>1039795</v>
      </c>
      <c r="E14" s="9">
        <v>1212430</v>
      </c>
      <c r="F14" s="9">
        <v>1100181</v>
      </c>
      <c r="G14" s="9">
        <v>1144655</v>
      </c>
      <c r="H14" s="9">
        <v>1151060</v>
      </c>
      <c r="I14" s="9">
        <v>1225044</v>
      </c>
      <c r="J14" s="9">
        <v>1150029</v>
      </c>
      <c r="K14" s="9">
        <v>1273387</v>
      </c>
      <c r="L14" s="9">
        <v>1146987</v>
      </c>
      <c r="M14" s="9">
        <v>1039592</v>
      </c>
      <c r="N14" s="9">
        <f t="shared" si="0"/>
        <v>13519577</v>
      </c>
    </row>
    <row r="15" spans="1:14" s="1" customFormat="1" x14ac:dyDescent="0.2">
      <c r="A15" s="2" t="s">
        <v>50</v>
      </c>
      <c r="B15" s="9">
        <v>1237024</v>
      </c>
      <c r="C15" s="9">
        <v>1299916.1999969</v>
      </c>
      <c r="D15" s="9">
        <v>1398079</v>
      </c>
      <c r="E15" s="9">
        <v>1401090</v>
      </c>
      <c r="F15" s="9">
        <v>1436791</v>
      </c>
      <c r="G15" s="9">
        <v>1461395</v>
      </c>
      <c r="H15" s="9">
        <v>1248961</v>
      </c>
      <c r="I15" s="9">
        <v>1104692</v>
      </c>
      <c r="J15" s="9">
        <v>1240483</v>
      </c>
      <c r="K15" s="9">
        <v>1510752</v>
      </c>
      <c r="L15" s="9">
        <v>1122789</v>
      </c>
      <c r="M15" s="9">
        <v>1388400</v>
      </c>
      <c r="N15" s="9">
        <f t="shared" si="0"/>
        <v>15850372.1999969</v>
      </c>
    </row>
    <row r="16" spans="1:14" x14ac:dyDescent="0.2">
      <c r="A16" s="20" t="s">
        <v>0</v>
      </c>
      <c r="B16" s="21">
        <f t="shared" ref="B16:N16" si="1">SUM(B7:B15)</f>
        <v>10104036.181581816</v>
      </c>
      <c r="C16" s="21">
        <f t="shared" si="1"/>
        <v>9538150.1845969018</v>
      </c>
      <c r="D16" s="21">
        <f t="shared" si="1"/>
        <v>10825783.345545456</v>
      </c>
      <c r="E16" s="21">
        <f t="shared" si="1"/>
        <v>11226274.930872729</v>
      </c>
      <c r="F16" s="21">
        <f t="shared" si="1"/>
        <v>11028705.140636366</v>
      </c>
      <c r="G16" s="21">
        <f t="shared" si="1"/>
        <v>11069366.90909091</v>
      </c>
      <c r="H16" s="21">
        <f t="shared" si="1"/>
        <v>11095233.463954547</v>
      </c>
      <c r="I16" s="21">
        <f t="shared" si="1"/>
        <v>10500113.727272727</v>
      </c>
      <c r="J16" s="21">
        <f t="shared" si="1"/>
        <v>10502427.643472727</v>
      </c>
      <c r="K16" s="21">
        <f t="shared" si="1"/>
        <v>11813442</v>
      </c>
      <c r="L16" s="21">
        <f t="shared" si="1"/>
        <v>10882214.795399999</v>
      </c>
      <c r="M16" s="21">
        <f t="shared" si="1"/>
        <v>11635104.152045453</v>
      </c>
      <c r="N16" s="21">
        <f t="shared" si="1"/>
        <v>130220852.47446963</v>
      </c>
    </row>
    <row r="17" spans="1:14" x14ac:dyDescent="0.2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4" x14ac:dyDescent="0.2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x14ac:dyDescent="0.2">
      <c r="A19" s="4" t="s">
        <v>132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x14ac:dyDescent="0.2">
      <c r="A20" s="6" t="s">
        <v>126</v>
      </c>
    </row>
    <row r="22" spans="1:14" x14ac:dyDescent="0.2">
      <c r="A22" s="23" t="s">
        <v>82</v>
      </c>
      <c r="B22" s="23" t="s">
        <v>83</v>
      </c>
      <c r="C22" s="23" t="s">
        <v>84</v>
      </c>
      <c r="D22" s="23" t="s">
        <v>118</v>
      </c>
      <c r="E22" s="23" t="s">
        <v>85</v>
      </c>
      <c r="F22" s="23" t="s">
        <v>86</v>
      </c>
      <c r="G22" s="23" t="s">
        <v>87</v>
      </c>
      <c r="H22" s="23" t="s">
        <v>119</v>
      </c>
      <c r="I22" s="23" t="s">
        <v>120</v>
      </c>
      <c r="J22" s="23" t="s">
        <v>121</v>
      </c>
      <c r="K22" s="23" t="s">
        <v>122</v>
      </c>
      <c r="L22" s="23" t="s">
        <v>123</v>
      </c>
      <c r="M22" s="23" t="s">
        <v>124</v>
      </c>
      <c r="N22" s="23" t="s">
        <v>125</v>
      </c>
    </row>
    <row r="23" spans="1:14" x14ac:dyDescent="0.2">
      <c r="A23" s="7" t="s">
        <v>2</v>
      </c>
      <c r="B23" s="9">
        <v>3016455</v>
      </c>
      <c r="C23" s="9">
        <v>3582053</v>
      </c>
      <c r="D23" s="9">
        <v>4093971</v>
      </c>
      <c r="E23" s="9">
        <v>4570557</v>
      </c>
      <c r="F23" s="9">
        <v>4560825</v>
      </c>
      <c r="G23" s="9">
        <v>4379258</v>
      </c>
      <c r="H23" s="9">
        <v>4146639</v>
      </c>
      <c r="I23" s="9">
        <v>4136486</v>
      </c>
      <c r="J23" s="9">
        <v>4236812</v>
      </c>
      <c r="K23" s="9">
        <v>4876399</v>
      </c>
      <c r="L23" s="9">
        <v>4740429</v>
      </c>
      <c r="M23" s="9">
        <v>4759040</v>
      </c>
      <c r="N23" s="9">
        <f t="shared" ref="N23:N29" si="2">SUM(B23:M23)</f>
        <v>51098924</v>
      </c>
    </row>
    <row r="24" spans="1:14" x14ac:dyDescent="0.2">
      <c r="A24" s="2" t="s">
        <v>1</v>
      </c>
      <c r="B24" s="9">
        <v>63159.313799999982</v>
      </c>
      <c r="C24" s="9">
        <v>55536.061599999986</v>
      </c>
      <c r="D24" s="9">
        <v>57670.983699999982</v>
      </c>
      <c r="E24" s="9">
        <v>56407.131199999996</v>
      </c>
      <c r="F24" s="9">
        <v>46228.218099999976</v>
      </c>
      <c r="G24" s="9">
        <v>54630</v>
      </c>
      <c r="H24" s="9">
        <v>53646.537799999998</v>
      </c>
      <c r="I24" s="9">
        <v>57281</v>
      </c>
      <c r="J24" s="9">
        <v>37407.882100000003</v>
      </c>
      <c r="K24" s="9">
        <v>46278</v>
      </c>
      <c r="L24" s="9">
        <v>48351.3439</v>
      </c>
      <c r="M24" s="9">
        <v>37277.325300000004</v>
      </c>
      <c r="N24" s="9">
        <f t="shared" si="2"/>
        <v>613873.79749999999</v>
      </c>
    </row>
    <row r="25" spans="1:14" x14ac:dyDescent="0.2">
      <c r="A25" s="2" t="s">
        <v>57</v>
      </c>
      <c r="B25" s="9">
        <v>3927221</v>
      </c>
      <c r="C25" s="9">
        <v>4283879.7272727266</v>
      </c>
      <c r="D25" s="9">
        <v>4668203.3636363624</v>
      </c>
      <c r="E25" s="9">
        <v>4447386.6363636348</v>
      </c>
      <c r="F25" s="9">
        <v>4920316.3636363661</v>
      </c>
      <c r="G25" s="9">
        <v>4582390</v>
      </c>
      <c r="H25" s="9">
        <v>5081087.7272727266</v>
      </c>
      <c r="I25" s="9">
        <v>4641370.9090909092</v>
      </c>
      <c r="J25" s="9">
        <v>4043165.6363636362</v>
      </c>
      <c r="K25" s="9">
        <v>4622196</v>
      </c>
      <c r="L25" s="9">
        <v>5173255.7272727275</v>
      </c>
      <c r="M25" s="9">
        <v>4399092.6363636367</v>
      </c>
      <c r="N25" s="9">
        <f t="shared" si="2"/>
        <v>54789565.727272719</v>
      </c>
    </row>
    <row r="26" spans="1:14" x14ac:dyDescent="0.2">
      <c r="A26" s="2" t="s">
        <v>28</v>
      </c>
      <c r="B26" s="9">
        <v>294609</v>
      </c>
      <c r="C26" s="9">
        <v>291652</v>
      </c>
      <c r="D26" s="9">
        <v>303284</v>
      </c>
      <c r="E26" s="9">
        <v>301024</v>
      </c>
      <c r="F26" s="9">
        <v>281074</v>
      </c>
      <c r="G26" s="9">
        <v>304393</v>
      </c>
      <c r="H26" s="9">
        <v>294844</v>
      </c>
      <c r="I26" s="9">
        <v>315231</v>
      </c>
      <c r="J26" s="9">
        <v>288105</v>
      </c>
      <c r="K26" s="9">
        <v>305380</v>
      </c>
      <c r="L26" s="9">
        <v>275361</v>
      </c>
      <c r="M26" s="9">
        <v>313526</v>
      </c>
      <c r="N26" s="9">
        <f t="shared" si="2"/>
        <v>3568483</v>
      </c>
    </row>
    <row r="27" spans="1:14" x14ac:dyDescent="0.2">
      <c r="A27" s="2" t="s">
        <v>3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15904</v>
      </c>
      <c r="J27" s="9">
        <v>19005</v>
      </c>
      <c r="K27" s="9">
        <v>42616</v>
      </c>
      <c r="L27" s="9">
        <v>45045</v>
      </c>
      <c r="M27" s="9">
        <v>38297</v>
      </c>
      <c r="N27" s="9">
        <f t="shared" si="2"/>
        <v>160867</v>
      </c>
    </row>
    <row r="28" spans="1:14" x14ac:dyDescent="0.2">
      <c r="A28" s="2" t="s">
        <v>29</v>
      </c>
      <c r="B28" s="9">
        <v>4011959</v>
      </c>
      <c r="C28" s="9">
        <v>4143473</v>
      </c>
      <c r="D28" s="9">
        <v>4020049</v>
      </c>
      <c r="E28" s="9">
        <v>4410975</v>
      </c>
      <c r="F28" s="9">
        <v>4698183</v>
      </c>
      <c r="G28" s="9">
        <v>4125190</v>
      </c>
      <c r="H28" s="9">
        <v>4274574</v>
      </c>
      <c r="I28" s="9">
        <v>3696182</v>
      </c>
      <c r="J28" s="9">
        <v>4318607</v>
      </c>
      <c r="K28" s="9">
        <v>4622472</v>
      </c>
      <c r="L28" s="9">
        <v>4919366</v>
      </c>
      <c r="M28" s="9">
        <v>4384330</v>
      </c>
      <c r="N28" s="9">
        <f t="shared" si="2"/>
        <v>51625360</v>
      </c>
    </row>
    <row r="29" spans="1:14" x14ac:dyDescent="0.2">
      <c r="A29" s="2" t="s">
        <v>50</v>
      </c>
      <c r="B29" s="9">
        <v>4900</v>
      </c>
      <c r="C29" s="9">
        <v>6196</v>
      </c>
      <c r="D29" s="9">
        <v>6536</v>
      </c>
      <c r="E29" s="9">
        <v>3083</v>
      </c>
      <c r="F29" s="9">
        <v>5932</v>
      </c>
      <c r="G29" s="9">
        <v>8165</v>
      </c>
      <c r="H29" s="9">
        <v>1897</v>
      </c>
      <c r="I29" s="9">
        <v>3147</v>
      </c>
      <c r="J29" s="9">
        <v>3342</v>
      </c>
      <c r="K29" s="9">
        <v>339</v>
      </c>
      <c r="L29" s="9">
        <v>2278</v>
      </c>
      <c r="M29" s="9">
        <v>15272</v>
      </c>
      <c r="N29" s="9">
        <f t="shared" si="2"/>
        <v>61087</v>
      </c>
    </row>
    <row r="30" spans="1:14" x14ac:dyDescent="0.2">
      <c r="A30" s="20" t="s">
        <v>0</v>
      </c>
      <c r="B30" s="21">
        <f>SUM(B23:B29)</f>
        <v>11318303.3138</v>
      </c>
      <c r="C30" s="21">
        <f t="shared" ref="C30:H30" si="3">SUM(C23:C29)</f>
        <v>12362789.788872726</v>
      </c>
      <c r="D30" s="21">
        <f t="shared" si="3"/>
        <v>13149714.347336363</v>
      </c>
      <c r="E30" s="21">
        <f t="shared" si="3"/>
        <v>13789432.767563634</v>
      </c>
      <c r="F30" s="21">
        <f t="shared" si="3"/>
        <v>14512558.581736367</v>
      </c>
      <c r="G30" s="21">
        <f t="shared" si="3"/>
        <v>13454026</v>
      </c>
      <c r="H30" s="21">
        <f t="shared" si="3"/>
        <v>13852688.265072726</v>
      </c>
      <c r="I30" s="21">
        <f t="shared" ref="I30:N30" si="4">SUM(I23:I29)</f>
        <v>12865601.90909091</v>
      </c>
      <c r="J30" s="21">
        <f t="shared" si="4"/>
        <v>12946444.518463636</v>
      </c>
      <c r="K30" s="21">
        <f t="shared" si="4"/>
        <v>14515680</v>
      </c>
      <c r="L30" s="21">
        <f t="shared" si="4"/>
        <v>15204086.071172727</v>
      </c>
      <c r="M30" s="21">
        <f t="shared" si="4"/>
        <v>13946834.961663637</v>
      </c>
      <c r="N30" s="21">
        <f t="shared" si="4"/>
        <v>161918160.5247727</v>
      </c>
    </row>
    <row r="32" spans="1:14" x14ac:dyDescent="0.2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4" x14ac:dyDescent="0.2">
      <c r="A33" s="4" t="s">
        <v>131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4" x14ac:dyDescent="0.2">
      <c r="A34" s="6" t="s">
        <v>126</v>
      </c>
    </row>
    <row r="35" spans="1:14" x14ac:dyDescent="0.2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4" x14ac:dyDescent="0.2">
      <c r="A36" s="23" t="s">
        <v>82</v>
      </c>
      <c r="B36" s="23" t="s">
        <v>83</v>
      </c>
      <c r="C36" s="23" t="s">
        <v>84</v>
      </c>
      <c r="D36" s="23" t="s">
        <v>118</v>
      </c>
      <c r="E36" s="23" t="s">
        <v>85</v>
      </c>
      <c r="F36" s="23" t="s">
        <v>86</v>
      </c>
      <c r="G36" s="23" t="s">
        <v>87</v>
      </c>
      <c r="H36" s="23" t="s">
        <v>119</v>
      </c>
      <c r="I36" s="23" t="s">
        <v>120</v>
      </c>
      <c r="J36" s="23" t="s">
        <v>121</v>
      </c>
      <c r="K36" s="23" t="s">
        <v>122</v>
      </c>
      <c r="L36" s="23" t="s">
        <v>123</v>
      </c>
      <c r="M36" s="23" t="s">
        <v>124</v>
      </c>
      <c r="N36" s="23" t="s">
        <v>125</v>
      </c>
    </row>
    <row r="37" spans="1:14" s="1" customFormat="1" ht="12" customHeight="1" x14ac:dyDescent="0.2">
      <c r="A37" s="22" t="s">
        <v>127</v>
      </c>
      <c r="B37" s="33">
        <f t="shared" ref="B37:N37" si="5">SUM(B38:B49)</f>
        <v>14247809</v>
      </c>
      <c r="C37" s="33">
        <f t="shared" si="5"/>
        <v>12645731</v>
      </c>
      <c r="D37" s="33">
        <f t="shared" si="5"/>
        <v>13352178</v>
      </c>
      <c r="E37" s="33">
        <f t="shared" si="5"/>
        <v>12488260</v>
      </c>
      <c r="F37" s="33">
        <f t="shared" si="5"/>
        <v>12371522</v>
      </c>
      <c r="G37" s="33">
        <f t="shared" si="5"/>
        <v>12962128</v>
      </c>
      <c r="H37" s="33">
        <f t="shared" si="5"/>
        <v>12428356</v>
      </c>
      <c r="I37" s="33">
        <f t="shared" si="5"/>
        <v>11918945</v>
      </c>
      <c r="J37" s="33">
        <f t="shared" si="5"/>
        <v>11999598</v>
      </c>
      <c r="K37" s="33">
        <f t="shared" si="5"/>
        <v>13505516</v>
      </c>
      <c r="L37" s="33">
        <f t="shared" si="5"/>
        <v>12540740</v>
      </c>
      <c r="M37" s="33">
        <f t="shared" si="5"/>
        <v>12245498</v>
      </c>
      <c r="N37" s="33">
        <f t="shared" si="5"/>
        <v>152706281</v>
      </c>
    </row>
    <row r="38" spans="1:14" s="1" customFormat="1" ht="12.75" hidden="1" customHeight="1" outlineLevel="1" x14ac:dyDescent="0.2">
      <c r="A38" s="11" t="s">
        <v>61</v>
      </c>
      <c r="B38" s="9">
        <v>3355179</v>
      </c>
      <c r="C38" s="9">
        <v>1694642</v>
      </c>
      <c r="D38" s="9">
        <v>2212541</v>
      </c>
      <c r="E38" s="9">
        <v>1716549</v>
      </c>
      <c r="F38" s="9">
        <v>1843651</v>
      </c>
      <c r="G38" s="9">
        <v>1626395</v>
      </c>
      <c r="H38" s="9">
        <v>1709247</v>
      </c>
      <c r="I38" s="9">
        <v>1701844</v>
      </c>
      <c r="J38" s="9">
        <v>1797456</v>
      </c>
      <c r="K38" s="9">
        <v>2032933</v>
      </c>
      <c r="L38" s="9">
        <v>1913161</v>
      </c>
      <c r="M38" s="9">
        <v>1691130</v>
      </c>
      <c r="N38" s="9">
        <f t="shared" ref="N38:N49" si="6">SUM(B38:M38)</f>
        <v>23294728</v>
      </c>
    </row>
    <row r="39" spans="1:14" s="1" customFormat="1" ht="12.75" hidden="1" customHeight="1" outlineLevel="1" x14ac:dyDescent="0.2">
      <c r="A39" s="11" t="s">
        <v>10</v>
      </c>
      <c r="B39" s="9">
        <v>56960</v>
      </c>
      <c r="C39" s="9">
        <v>43988</v>
      </c>
      <c r="D39" s="9">
        <v>52222</v>
      </c>
      <c r="E39" s="9">
        <v>44972</v>
      </c>
      <c r="F39" s="9">
        <v>42962</v>
      </c>
      <c r="G39" s="9">
        <v>56784</v>
      </c>
      <c r="H39" s="9">
        <v>58454</v>
      </c>
      <c r="I39" s="9">
        <v>57147</v>
      </c>
      <c r="J39" s="9">
        <v>52771</v>
      </c>
      <c r="K39" s="9">
        <v>55244</v>
      </c>
      <c r="L39" s="9">
        <v>63102</v>
      </c>
      <c r="M39" s="9">
        <v>66889</v>
      </c>
      <c r="N39" s="9">
        <f t="shared" si="6"/>
        <v>651495</v>
      </c>
    </row>
    <row r="40" spans="1:14" s="1" customFormat="1" ht="13.5" hidden="1" customHeight="1" outlineLevel="1" x14ac:dyDescent="0.2">
      <c r="A40" s="11" t="s">
        <v>8</v>
      </c>
      <c r="B40" s="9">
        <v>226780</v>
      </c>
      <c r="C40" s="9">
        <v>268039</v>
      </c>
      <c r="D40" s="9">
        <v>283429</v>
      </c>
      <c r="E40" s="9">
        <v>270270</v>
      </c>
      <c r="F40" s="9">
        <v>242019</v>
      </c>
      <c r="G40" s="9">
        <v>243320</v>
      </c>
      <c r="H40" s="9">
        <v>316705</v>
      </c>
      <c r="I40" s="9">
        <v>260008</v>
      </c>
      <c r="J40" s="9">
        <v>363441</v>
      </c>
      <c r="K40" s="9">
        <v>398401</v>
      </c>
      <c r="L40" s="9">
        <v>407512</v>
      </c>
      <c r="M40" s="9">
        <v>401736</v>
      </c>
      <c r="N40" s="9">
        <f t="shared" si="6"/>
        <v>3681660</v>
      </c>
    </row>
    <row r="41" spans="1:14" s="1" customFormat="1" ht="12.75" hidden="1" customHeight="1" outlineLevel="1" x14ac:dyDescent="0.2">
      <c r="A41" s="11" t="s">
        <v>11</v>
      </c>
      <c r="B41" s="9">
        <v>779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f t="shared" si="6"/>
        <v>779</v>
      </c>
    </row>
    <row r="42" spans="1:14" s="1" customFormat="1" ht="12.75" hidden="1" customHeight="1" outlineLevel="1" x14ac:dyDescent="0.2">
      <c r="A42" s="11" t="s">
        <v>17</v>
      </c>
      <c r="B42" s="9">
        <v>966371</v>
      </c>
      <c r="C42" s="9">
        <v>863985</v>
      </c>
      <c r="D42" s="9">
        <v>826762</v>
      </c>
      <c r="E42" s="9">
        <v>740284</v>
      </c>
      <c r="F42" s="9">
        <v>709794</v>
      </c>
      <c r="G42" s="9">
        <v>826104</v>
      </c>
      <c r="H42" s="9">
        <v>776633</v>
      </c>
      <c r="I42" s="9">
        <v>672736</v>
      </c>
      <c r="J42" s="9">
        <v>737415</v>
      </c>
      <c r="K42" s="9">
        <v>750222</v>
      </c>
      <c r="L42" s="9">
        <v>755675</v>
      </c>
      <c r="M42" s="9">
        <v>769965</v>
      </c>
      <c r="N42" s="9">
        <f t="shared" si="6"/>
        <v>9395946</v>
      </c>
    </row>
    <row r="43" spans="1:14" s="1" customFormat="1" ht="12.75" hidden="1" customHeight="1" outlineLevel="1" x14ac:dyDescent="0.2">
      <c r="A43" s="12" t="s">
        <v>52</v>
      </c>
      <c r="B43" s="9">
        <v>1314199</v>
      </c>
      <c r="C43" s="9">
        <v>1268676</v>
      </c>
      <c r="D43" s="9">
        <v>1394487</v>
      </c>
      <c r="E43" s="9">
        <v>1260286</v>
      </c>
      <c r="F43" s="9">
        <v>1293953</v>
      </c>
      <c r="G43" s="9">
        <v>1403601</v>
      </c>
      <c r="H43" s="9">
        <v>1508753</v>
      </c>
      <c r="I43" s="9">
        <v>1480696</v>
      </c>
      <c r="J43" s="9">
        <v>1156596</v>
      </c>
      <c r="K43" s="9">
        <v>1258071</v>
      </c>
      <c r="L43" s="9">
        <v>1337045</v>
      </c>
      <c r="M43" s="9">
        <v>1117056</v>
      </c>
      <c r="N43" s="9">
        <f t="shared" si="6"/>
        <v>15793419</v>
      </c>
    </row>
    <row r="44" spans="1:14" s="1" customFormat="1" ht="12.75" hidden="1" customHeight="1" outlineLevel="1" x14ac:dyDescent="0.2">
      <c r="A44" s="11" t="s">
        <v>9</v>
      </c>
      <c r="B44" s="9">
        <v>169593</v>
      </c>
      <c r="C44" s="9">
        <v>166855</v>
      </c>
      <c r="D44" s="9">
        <v>112617</v>
      </c>
      <c r="E44" s="9">
        <v>100493</v>
      </c>
      <c r="F44" s="9">
        <v>156801</v>
      </c>
      <c r="G44" s="9">
        <v>138056</v>
      </c>
      <c r="H44" s="9">
        <v>153989</v>
      </c>
      <c r="I44" s="9">
        <v>112781</v>
      </c>
      <c r="J44" s="9">
        <v>110637</v>
      </c>
      <c r="K44" s="9">
        <v>98540</v>
      </c>
      <c r="L44" s="9">
        <v>111473</v>
      </c>
      <c r="M44" s="9">
        <v>121138</v>
      </c>
      <c r="N44" s="9">
        <f t="shared" si="6"/>
        <v>1552973</v>
      </c>
    </row>
    <row r="45" spans="1:14" s="1" customFormat="1" ht="12.75" hidden="1" customHeight="1" outlineLevel="1" x14ac:dyDescent="0.2">
      <c r="A45" s="11" t="s">
        <v>172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539</v>
      </c>
      <c r="I45" s="9">
        <v>0</v>
      </c>
      <c r="J45" s="9">
        <v>0</v>
      </c>
      <c r="K45" s="9">
        <v>0</v>
      </c>
      <c r="L45" s="9">
        <v>0</v>
      </c>
      <c r="M45" s="9">
        <v>826</v>
      </c>
      <c r="N45" s="9">
        <f t="shared" si="6"/>
        <v>1365</v>
      </c>
    </row>
    <row r="46" spans="1:14" s="1" customFormat="1" ht="12.75" hidden="1" customHeight="1" outlineLevel="1" x14ac:dyDescent="0.2">
      <c r="A46" s="11" t="s">
        <v>14</v>
      </c>
      <c r="B46" s="9">
        <v>5078662</v>
      </c>
      <c r="C46" s="9">
        <v>4796354</v>
      </c>
      <c r="D46" s="9">
        <v>5317041</v>
      </c>
      <c r="E46" s="9">
        <v>5196031</v>
      </c>
      <c r="F46" s="9">
        <v>5074481</v>
      </c>
      <c r="G46" s="9">
        <v>5122935</v>
      </c>
      <c r="H46" s="9">
        <v>4858621</v>
      </c>
      <c r="I46" s="9">
        <v>4624635</v>
      </c>
      <c r="J46" s="9">
        <v>4793215</v>
      </c>
      <c r="K46" s="9">
        <v>5674049</v>
      </c>
      <c r="L46" s="9">
        <v>4796639</v>
      </c>
      <c r="M46" s="9">
        <v>4907524</v>
      </c>
      <c r="N46" s="9">
        <f t="shared" si="6"/>
        <v>60240187</v>
      </c>
    </row>
    <row r="47" spans="1:14" s="1" customFormat="1" ht="12.75" hidden="1" customHeight="1" outlineLevel="1" x14ac:dyDescent="0.2">
      <c r="A47" s="11" t="s">
        <v>59</v>
      </c>
      <c r="B47" s="9"/>
      <c r="C47" s="9"/>
      <c r="D47" s="9"/>
      <c r="E47" s="9"/>
      <c r="F47" s="9">
        <v>0</v>
      </c>
      <c r="G47" s="9">
        <v>1187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f t="shared" si="6"/>
        <v>1187</v>
      </c>
    </row>
    <row r="48" spans="1:14" ht="12.75" hidden="1" customHeight="1" outlineLevel="1" x14ac:dyDescent="0.2">
      <c r="A48" s="11" t="s">
        <v>90</v>
      </c>
      <c r="B48" s="9">
        <v>201748</v>
      </c>
      <c r="C48" s="9">
        <v>216011</v>
      </c>
      <c r="D48" s="9">
        <v>249176</v>
      </c>
      <c r="E48" s="9">
        <v>222651</v>
      </c>
      <c r="F48" s="9">
        <v>189860</v>
      </c>
      <c r="G48" s="9">
        <v>181956</v>
      </c>
      <c r="H48" s="9">
        <v>191205</v>
      </c>
      <c r="I48" s="9">
        <v>164641</v>
      </c>
      <c r="J48" s="9">
        <v>159606</v>
      </c>
      <c r="K48" s="9">
        <v>194315</v>
      </c>
      <c r="L48" s="9">
        <v>226145</v>
      </c>
      <c r="M48" s="9">
        <v>207045</v>
      </c>
      <c r="N48" s="9">
        <f t="shared" si="6"/>
        <v>2404359</v>
      </c>
    </row>
    <row r="49" spans="1:14" ht="12.75" hidden="1" customHeight="1" outlineLevel="1" x14ac:dyDescent="0.2">
      <c r="A49" s="11" t="s">
        <v>15</v>
      </c>
      <c r="B49" s="9">
        <v>2877538</v>
      </c>
      <c r="C49" s="9">
        <v>3327181</v>
      </c>
      <c r="D49" s="9">
        <v>2903903</v>
      </c>
      <c r="E49" s="9">
        <v>2936724</v>
      </c>
      <c r="F49" s="9">
        <v>2818001</v>
      </c>
      <c r="G49" s="9">
        <v>3361790</v>
      </c>
      <c r="H49" s="9">
        <v>2854210</v>
      </c>
      <c r="I49" s="9">
        <v>2844457</v>
      </c>
      <c r="J49" s="9">
        <v>2828461</v>
      </c>
      <c r="K49" s="9">
        <v>3043741</v>
      </c>
      <c r="L49" s="9">
        <v>2929988</v>
      </c>
      <c r="M49" s="9">
        <v>2962189</v>
      </c>
      <c r="N49" s="9">
        <f t="shared" si="6"/>
        <v>35688183</v>
      </c>
    </row>
    <row r="50" spans="1:14" collapsed="1" x14ac:dyDescent="0.2">
      <c r="A50" s="22" t="s">
        <v>55</v>
      </c>
      <c r="B50" s="33">
        <f>SUM(B51:B52)</f>
        <v>110803</v>
      </c>
      <c r="C50" s="33">
        <f t="shared" ref="C50:M50" si="7">SUM(C51:C52)</f>
        <v>122039</v>
      </c>
      <c r="D50" s="33">
        <f t="shared" si="7"/>
        <v>91094</v>
      </c>
      <c r="E50" s="33">
        <f t="shared" si="7"/>
        <v>128755</v>
      </c>
      <c r="F50" s="33">
        <f t="shared" si="7"/>
        <v>95512</v>
      </c>
      <c r="G50" s="33">
        <f t="shared" si="7"/>
        <v>102671</v>
      </c>
      <c r="H50" s="33">
        <f t="shared" si="7"/>
        <v>94280</v>
      </c>
      <c r="I50" s="33">
        <f t="shared" si="7"/>
        <v>80574</v>
      </c>
      <c r="J50" s="33">
        <f t="shared" si="7"/>
        <v>102791</v>
      </c>
      <c r="K50" s="33">
        <f t="shared" si="7"/>
        <v>107672</v>
      </c>
      <c r="L50" s="33">
        <f t="shared" si="7"/>
        <v>112765</v>
      </c>
      <c r="M50" s="33">
        <f t="shared" si="7"/>
        <v>128265</v>
      </c>
      <c r="N50" s="33">
        <f t="shared" ref="N50" si="8">SUM(N51:N52)</f>
        <v>1277221</v>
      </c>
    </row>
    <row r="51" spans="1:14" ht="12.75" hidden="1" customHeight="1" outlineLevel="1" x14ac:dyDescent="0.2">
      <c r="A51" s="11" t="s">
        <v>12</v>
      </c>
      <c r="B51" s="9">
        <v>110803</v>
      </c>
      <c r="C51" s="9">
        <v>122039</v>
      </c>
      <c r="D51" s="9">
        <v>91094</v>
      </c>
      <c r="E51" s="9">
        <v>93074</v>
      </c>
      <c r="F51" s="9">
        <v>95512</v>
      </c>
      <c r="G51" s="9">
        <v>102671</v>
      </c>
      <c r="H51" s="9">
        <v>94280</v>
      </c>
      <c r="I51" s="9">
        <v>80574</v>
      </c>
      <c r="J51" s="9">
        <v>102791</v>
      </c>
      <c r="K51" s="9">
        <v>107672</v>
      </c>
      <c r="L51" s="9">
        <v>112765</v>
      </c>
      <c r="M51" s="9">
        <v>128265</v>
      </c>
      <c r="N51" s="9">
        <f>SUM(B51:M51)</f>
        <v>1241540</v>
      </c>
    </row>
    <row r="52" spans="1:14" ht="12.75" hidden="1" customHeight="1" outlineLevel="1" x14ac:dyDescent="0.2">
      <c r="A52" s="11" t="s">
        <v>179</v>
      </c>
      <c r="B52" s="9">
        <v>0</v>
      </c>
      <c r="C52" s="9">
        <v>0</v>
      </c>
      <c r="D52" s="9">
        <v>0</v>
      </c>
      <c r="E52" s="9">
        <v>35681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f>SUM(B52:M52)</f>
        <v>35681</v>
      </c>
    </row>
    <row r="53" spans="1:14" ht="25.5" collapsed="1" x14ac:dyDescent="0.2">
      <c r="A53" s="22" t="s">
        <v>128</v>
      </c>
      <c r="B53" s="33">
        <f t="shared" ref="B53:M53" si="9">SUM(B54:B66)</f>
        <v>2575747</v>
      </c>
      <c r="C53" s="33">
        <f t="shared" si="9"/>
        <v>2803824</v>
      </c>
      <c r="D53" s="33">
        <f t="shared" si="9"/>
        <v>3767255</v>
      </c>
      <c r="E53" s="33">
        <f t="shared" si="9"/>
        <v>2904953</v>
      </c>
      <c r="F53" s="33">
        <f t="shared" si="9"/>
        <v>3075505</v>
      </c>
      <c r="G53" s="33">
        <f t="shared" si="9"/>
        <v>2731005</v>
      </c>
      <c r="H53" s="33">
        <f t="shared" si="9"/>
        <v>2816506</v>
      </c>
      <c r="I53" s="33">
        <f t="shared" si="9"/>
        <v>2877962.5</v>
      </c>
      <c r="J53" s="33">
        <f t="shared" si="9"/>
        <v>2773436</v>
      </c>
      <c r="K53" s="33">
        <f t="shared" si="9"/>
        <v>3441577</v>
      </c>
      <c r="L53" s="33">
        <f t="shared" si="9"/>
        <v>3174704</v>
      </c>
      <c r="M53" s="33">
        <f t="shared" si="9"/>
        <v>2744051</v>
      </c>
      <c r="N53" s="33">
        <f>SUM(N54:N66)</f>
        <v>35686525.5</v>
      </c>
    </row>
    <row r="54" spans="1:14" hidden="1" outlineLevel="1" x14ac:dyDescent="0.2">
      <c r="A54" s="11" t="s">
        <v>147</v>
      </c>
      <c r="B54" s="11">
        <v>0</v>
      </c>
      <c r="C54" s="11">
        <v>0</v>
      </c>
      <c r="D54" s="11">
        <v>0</v>
      </c>
      <c r="E54" s="11">
        <v>0</v>
      </c>
      <c r="F54" s="11">
        <v>0</v>
      </c>
      <c r="G54" s="11">
        <v>672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f t="shared" ref="N54:N66" si="10">SUM(B54:M54)</f>
        <v>672</v>
      </c>
    </row>
    <row r="55" spans="1:14" hidden="1" outlineLevel="1" x14ac:dyDescent="0.2">
      <c r="A55" s="11" t="s">
        <v>76</v>
      </c>
      <c r="B55" s="9">
        <v>20241</v>
      </c>
      <c r="C55" s="9">
        <v>34890</v>
      </c>
      <c r="D55" s="9">
        <v>33562</v>
      </c>
      <c r="E55" s="9">
        <v>27</v>
      </c>
      <c r="F55" s="9">
        <v>38798</v>
      </c>
      <c r="G55" s="9">
        <v>36212</v>
      </c>
      <c r="H55" s="9">
        <v>35570</v>
      </c>
      <c r="I55" s="9">
        <v>43105</v>
      </c>
      <c r="J55" s="9">
        <v>25119</v>
      </c>
      <c r="K55" s="9">
        <v>41400</v>
      </c>
      <c r="L55" s="9">
        <v>41522</v>
      </c>
      <c r="M55" s="9">
        <v>28232</v>
      </c>
      <c r="N55" s="9">
        <f t="shared" si="10"/>
        <v>378678</v>
      </c>
    </row>
    <row r="56" spans="1:14" hidden="1" outlineLevel="1" x14ac:dyDescent="0.2">
      <c r="A56" s="16" t="s">
        <v>34</v>
      </c>
      <c r="B56" s="9">
        <v>81811</v>
      </c>
      <c r="C56" s="9">
        <v>238745</v>
      </c>
      <c r="D56" s="9">
        <v>456947</v>
      </c>
      <c r="E56" s="9">
        <v>497106</v>
      </c>
      <c r="F56" s="9">
        <v>461903</v>
      </c>
      <c r="G56" s="9">
        <v>480586</v>
      </c>
      <c r="H56" s="9">
        <v>276546</v>
      </c>
      <c r="I56" s="9">
        <v>186855</v>
      </c>
      <c r="J56" s="9">
        <v>229332</v>
      </c>
      <c r="K56" s="9">
        <v>327727</v>
      </c>
      <c r="L56" s="9">
        <v>320200</v>
      </c>
      <c r="M56" s="9">
        <v>230598</v>
      </c>
      <c r="N56" s="9">
        <f t="shared" si="10"/>
        <v>3788356</v>
      </c>
    </row>
    <row r="57" spans="1:14" hidden="1" outlineLevel="1" x14ac:dyDescent="0.2">
      <c r="A57" s="16" t="s">
        <v>31</v>
      </c>
      <c r="B57" s="9">
        <v>176845</v>
      </c>
      <c r="C57" s="9">
        <v>235242</v>
      </c>
      <c r="D57" s="9">
        <v>286442</v>
      </c>
      <c r="E57" s="9">
        <v>248160</v>
      </c>
      <c r="F57" s="9">
        <v>251734</v>
      </c>
      <c r="G57" s="9">
        <v>232287</v>
      </c>
      <c r="H57" s="9">
        <v>229059</v>
      </c>
      <c r="I57" s="9">
        <v>218337.5</v>
      </c>
      <c r="J57" s="9">
        <v>213333</v>
      </c>
      <c r="K57" s="9">
        <v>283692</v>
      </c>
      <c r="L57" s="9">
        <v>246236</v>
      </c>
      <c r="M57" s="9">
        <v>250055</v>
      </c>
      <c r="N57" s="9">
        <f t="shared" si="10"/>
        <v>2871422.5</v>
      </c>
    </row>
    <row r="58" spans="1:14" hidden="1" outlineLevel="1" x14ac:dyDescent="0.2">
      <c r="A58" s="19" t="s">
        <v>33</v>
      </c>
      <c r="B58" s="9">
        <v>10857</v>
      </c>
      <c r="C58" s="9">
        <v>25031</v>
      </c>
      <c r="D58" s="9">
        <v>17545</v>
      </c>
      <c r="E58" s="9">
        <v>15731</v>
      </c>
      <c r="F58" s="9">
        <v>21774</v>
      </c>
      <c r="G58" s="9">
        <v>19432</v>
      </c>
      <c r="H58" s="9">
        <v>15192</v>
      </c>
      <c r="I58" s="9">
        <v>14997</v>
      </c>
      <c r="J58" s="9">
        <v>15731</v>
      </c>
      <c r="K58" s="9">
        <v>19649</v>
      </c>
      <c r="L58" s="9">
        <v>10470</v>
      </c>
      <c r="M58" s="9">
        <v>16158</v>
      </c>
      <c r="N58" s="9">
        <f t="shared" si="10"/>
        <v>202567</v>
      </c>
    </row>
    <row r="59" spans="1:14" hidden="1" outlineLevel="1" x14ac:dyDescent="0.2">
      <c r="A59" s="16" t="s">
        <v>63</v>
      </c>
      <c r="B59" s="9">
        <v>453221</v>
      </c>
      <c r="C59" s="9">
        <v>458375</v>
      </c>
      <c r="D59" s="9">
        <v>585168</v>
      </c>
      <c r="E59" s="9">
        <v>586652</v>
      </c>
      <c r="F59" s="9">
        <v>596033</v>
      </c>
      <c r="G59" s="9">
        <v>483433</v>
      </c>
      <c r="H59" s="9">
        <v>631781</v>
      </c>
      <c r="I59" s="9">
        <v>482882</v>
      </c>
      <c r="J59" s="9">
        <v>498208</v>
      </c>
      <c r="K59" s="9">
        <v>527460</v>
      </c>
      <c r="L59" s="9">
        <v>524160</v>
      </c>
      <c r="M59" s="9">
        <v>656056</v>
      </c>
      <c r="N59" s="9">
        <f t="shared" si="10"/>
        <v>6483429</v>
      </c>
    </row>
    <row r="60" spans="1:14" hidden="1" outlineLevel="1" x14ac:dyDescent="0.2">
      <c r="A60" s="16" t="s">
        <v>32</v>
      </c>
      <c r="B60" s="9">
        <v>35980</v>
      </c>
      <c r="C60" s="9">
        <v>1048</v>
      </c>
      <c r="D60" s="9">
        <v>0</v>
      </c>
      <c r="E60" s="9">
        <v>4021</v>
      </c>
      <c r="F60" s="9">
        <v>4325</v>
      </c>
      <c r="G60" s="9">
        <v>2665</v>
      </c>
      <c r="H60" s="9">
        <v>976</v>
      </c>
      <c r="I60" s="9">
        <v>976</v>
      </c>
      <c r="J60" s="9">
        <v>1755</v>
      </c>
      <c r="K60" s="9">
        <v>267</v>
      </c>
      <c r="L60" s="9">
        <v>0</v>
      </c>
      <c r="M60" s="9">
        <v>175</v>
      </c>
      <c r="N60" s="9">
        <f t="shared" si="10"/>
        <v>52188</v>
      </c>
    </row>
    <row r="61" spans="1:14" hidden="1" outlineLevel="1" x14ac:dyDescent="0.2">
      <c r="A61" s="16" t="s">
        <v>62</v>
      </c>
      <c r="B61" s="9">
        <v>604644</v>
      </c>
      <c r="C61" s="9">
        <v>604996</v>
      </c>
      <c r="D61" s="9">
        <v>650677</v>
      </c>
      <c r="E61" s="9">
        <v>593961</v>
      </c>
      <c r="F61" s="9">
        <v>482823</v>
      </c>
      <c r="G61" s="9">
        <v>577839</v>
      </c>
      <c r="H61" s="9">
        <v>518165</v>
      </c>
      <c r="I61" s="9">
        <v>577578</v>
      </c>
      <c r="J61" s="9">
        <v>566229</v>
      </c>
      <c r="K61" s="9">
        <v>619297</v>
      </c>
      <c r="L61" s="9">
        <v>582936</v>
      </c>
      <c r="M61" s="9">
        <v>610150</v>
      </c>
      <c r="N61" s="9">
        <f t="shared" si="10"/>
        <v>6989295</v>
      </c>
    </row>
    <row r="62" spans="1:14" ht="12" hidden="1" customHeight="1" outlineLevel="1" x14ac:dyDescent="0.2">
      <c r="A62" s="16" t="s">
        <v>19</v>
      </c>
      <c r="B62" s="9">
        <v>454221</v>
      </c>
      <c r="C62" s="9">
        <v>437241</v>
      </c>
      <c r="D62" s="9">
        <v>679944</v>
      </c>
      <c r="E62" s="9">
        <v>434044</v>
      </c>
      <c r="F62" s="9">
        <v>467603</v>
      </c>
      <c r="G62" s="9">
        <v>416177</v>
      </c>
      <c r="H62" s="9">
        <v>317465</v>
      </c>
      <c r="I62" s="9">
        <v>422939</v>
      </c>
      <c r="J62" s="9">
        <v>445661</v>
      </c>
      <c r="K62" s="9">
        <v>570906</v>
      </c>
      <c r="L62" s="9">
        <v>573155</v>
      </c>
      <c r="M62" s="9">
        <v>524584</v>
      </c>
      <c r="N62" s="9">
        <f t="shared" si="10"/>
        <v>5743940</v>
      </c>
    </row>
    <row r="63" spans="1:14" hidden="1" outlineLevel="1" x14ac:dyDescent="0.2">
      <c r="A63" s="16" t="s">
        <v>36</v>
      </c>
      <c r="B63" s="9">
        <v>44397</v>
      </c>
      <c r="C63" s="9">
        <v>60393</v>
      </c>
      <c r="D63" s="9">
        <v>59829</v>
      </c>
      <c r="E63" s="9">
        <v>55162</v>
      </c>
      <c r="F63" s="9">
        <v>67186</v>
      </c>
      <c r="G63" s="9">
        <v>65154</v>
      </c>
      <c r="H63" s="9">
        <v>51575</v>
      </c>
      <c r="I63" s="9">
        <v>48084</v>
      </c>
      <c r="J63" s="9">
        <v>44502</v>
      </c>
      <c r="K63" s="9">
        <v>60918</v>
      </c>
      <c r="L63" s="9">
        <v>69087</v>
      </c>
      <c r="M63" s="9">
        <v>43216</v>
      </c>
      <c r="N63" s="9">
        <f t="shared" si="10"/>
        <v>669503</v>
      </c>
    </row>
    <row r="64" spans="1:14" hidden="1" outlineLevel="1" x14ac:dyDescent="0.2">
      <c r="A64" s="16" t="s">
        <v>51</v>
      </c>
      <c r="B64" s="9">
        <v>18803</v>
      </c>
      <c r="C64" s="9">
        <v>21197</v>
      </c>
      <c r="D64" s="9">
        <v>39284</v>
      </c>
      <c r="E64" s="9">
        <v>30498</v>
      </c>
      <c r="F64" s="9">
        <v>28349</v>
      </c>
      <c r="G64" s="9">
        <v>28454</v>
      </c>
      <c r="H64" s="9">
        <v>25407</v>
      </c>
      <c r="I64" s="9">
        <v>19433</v>
      </c>
      <c r="J64" s="9">
        <v>24900</v>
      </c>
      <c r="K64" s="9">
        <v>22444</v>
      </c>
      <c r="L64" s="9">
        <v>29717</v>
      </c>
      <c r="M64" s="9">
        <v>26498</v>
      </c>
      <c r="N64" s="9">
        <f t="shared" si="10"/>
        <v>314984</v>
      </c>
    </row>
    <row r="65" spans="1:14" hidden="1" outlineLevel="1" x14ac:dyDescent="0.2">
      <c r="A65" s="17" t="s">
        <v>79</v>
      </c>
      <c r="B65" s="9">
        <v>307412</v>
      </c>
      <c r="C65" s="9">
        <v>321289</v>
      </c>
      <c r="D65" s="9">
        <v>449628</v>
      </c>
      <c r="E65" s="9">
        <v>439591</v>
      </c>
      <c r="F65" s="9">
        <v>429731</v>
      </c>
      <c r="G65" s="9">
        <v>388094</v>
      </c>
      <c r="H65" s="9">
        <v>385415</v>
      </c>
      <c r="I65" s="9">
        <v>388094</v>
      </c>
      <c r="J65" s="9">
        <v>319985</v>
      </c>
      <c r="K65" s="9">
        <v>402703</v>
      </c>
      <c r="L65" s="9">
        <v>416927</v>
      </c>
      <c r="M65" s="9">
        <v>358329</v>
      </c>
      <c r="N65" s="9">
        <f t="shared" si="10"/>
        <v>4607198</v>
      </c>
    </row>
    <row r="66" spans="1:14" hidden="1" outlineLevel="1" x14ac:dyDescent="0.2">
      <c r="A66" s="16" t="s">
        <v>40</v>
      </c>
      <c r="B66" s="9">
        <v>367315</v>
      </c>
      <c r="C66" s="9">
        <v>365377</v>
      </c>
      <c r="D66" s="9">
        <v>508229</v>
      </c>
      <c r="E66" s="9">
        <v>0</v>
      </c>
      <c r="F66" s="9">
        <v>225246</v>
      </c>
      <c r="G66" s="9">
        <v>0</v>
      </c>
      <c r="H66" s="9">
        <v>329355</v>
      </c>
      <c r="I66" s="9">
        <v>474682</v>
      </c>
      <c r="J66" s="9">
        <v>388681</v>
      </c>
      <c r="K66" s="9">
        <v>565114</v>
      </c>
      <c r="L66" s="9">
        <v>360294</v>
      </c>
      <c r="M66" s="9">
        <v>0</v>
      </c>
      <c r="N66" s="9">
        <f t="shared" si="10"/>
        <v>3584293</v>
      </c>
    </row>
    <row r="67" spans="1:14" collapsed="1" x14ac:dyDescent="0.2">
      <c r="A67" s="22" t="s">
        <v>54</v>
      </c>
      <c r="B67" s="33">
        <f t="shared" ref="B67:J67" si="11">SUM(B68:B82)</f>
        <v>9436258.5</v>
      </c>
      <c r="C67" s="33">
        <f t="shared" si="11"/>
        <v>9195718</v>
      </c>
      <c r="D67" s="33">
        <f t="shared" si="11"/>
        <v>11095131.1</v>
      </c>
      <c r="E67" s="33">
        <f t="shared" si="11"/>
        <v>9151470.6999999993</v>
      </c>
      <c r="F67" s="33">
        <f t="shared" si="11"/>
        <v>10213997.399999999</v>
      </c>
      <c r="G67" s="33">
        <f t="shared" si="11"/>
        <v>9634732.8000000007</v>
      </c>
      <c r="H67" s="33">
        <f t="shared" si="11"/>
        <v>10032254.4</v>
      </c>
      <c r="I67" s="33">
        <f t="shared" si="11"/>
        <v>9816757.0999999996</v>
      </c>
      <c r="J67" s="33">
        <f t="shared" si="11"/>
        <v>8952220.0999999996</v>
      </c>
      <c r="K67" s="33">
        <f>SUM(K68:K82)</f>
        <v>10111950.109999999</v>
      </c>
      <c r="L67" s="33">
        <f t="shared" ref="L67:N67" si="12">SUM(L68:L82)</f>
        <v>10483612.699999999</v>
      </c>
      <c r="M67" s="33">
        <f t="shared" si="12"/>
        <v>9441147.3000000007</v>
      </c>
      <c r="N67" s="33">
        <f t="shared" si="12"/>
        <v>117565250.20999999</v>
      </c>
    </row>
    <row r="68" spans="1:14" hidden="1" outlineLevel="1" x14ac:dyDescent="0.2">
      <c r="A68" s="11" t="s">
        <v>67</v>
      </c>
      <c r="B68" s="9">
        <v>92891</v>
      </c>
      <c r="C68" s="9">
        <v>125073</v>
      </c>
      <c r="D68" s="9">
        <v>139060</v>
      </c>
      <c r="E68" s="9">
        <v>169289</v>
      </c>
      <c r="F68" s="9">
        <v>99010</v>
      </c>
      <c r="G68" s="9">
        <v>78293</v>
      </c>
      <c r="H68" s="9">
        <v>77199</v>
      </c>
      <c r="I68" s="9">
        <v>92882</v>
      </c>
      <c r="J68" s="9">
        <v>72314</v>
      </c>
      <c r="K68" s="9">
        <v>80611</v>
      </c>
      <c r="L68" s="9">
        <v>87471</v>
      </c>
      <c r="M68" s="9">
        <v>70841</v>
      </c>
      <c r="N68" s="9">
        <f t="shared" ref="N68:N82" si="13">SUM(B68:M68)</f>
        <v>1184934</v>
      </c>
    </row>
    <row r="69" spans="1:14" hidden="1" outlineLevel="1" x14ac:dyDescent="0.2">
      <c r="A69" s="11" t="s">
        <v>39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16309</v>
      </c>
      <c r="K69" s="9">
        <v>49928</v>
      </c>
      <c r="L69" s="9">
        <v>69701</v>
      </c>
      <c r="M69" s="9">
        <v>62048</v>
      </c>
      <c r="N69" s="9">
        <f t="shared" si="13"/>
        <v>197986</v>
      </c>
    </row>
    <row r="70" spans="1:14" hidden="1" outlineLevel="1" x14ac:dyDescent="0.2">
      <c r="A70" s="11" t="s">
        <v>65</v>
      </c>
      <c r="B70" s="9">
        <v>3105000</v>
      </c>
      <c r="C70" s="9">
        <v>2309867</v>
      </c>
      <c r="D70" s="9">
        <v>2655432</v>
      </c>
      <c r="E70" s="9">
        <v>1325285</v>
      </c>
      <c r="F70" s="9">
        <v>1892527</v>
      </c>
      <c r="G70" s="9">
        <v>1587843</v>
      </c>
      <c r="H70" s="9">
        <v>1349265</v>
      </c>
      <c r="I70" s="9">
        <v>1174771</v>
      </c>
      <c r="J70" s="9">
        <v>1143624</v>
      </c>
      <c r="K70" s="9">
        <v>1328665</v>
      </c>
      <c r="L70" s="9">
        <v>1394726</v>
      </c>
      <c r="M70" s="9">
        <v>1491623</v>
      </c>
      <c r="N70" s="9">
        <f t="shared" si="13"/>
        <v>20758628</v>
      </c>
    </row>
    <row r="71" spans="1:14" hidden="1" outlineLevel="1" x14ac:dyDescent="0.2">
      <c r="A71" s="12" t="s">
        <v>56</v>
      </c>
      <c r="B71" s="9">
        <v>13372</v>
      </c>
      <c r="C71" s="9">
        <v>5104</v>
      </c>
      <c r="D71" s="9">
        <v>14752</v>
      </c>
      <c r="E71" s="9">
        <v>15999</v>
      </c>
      <c r="F71" s="9">
        <v>37694</v>
      </c>
      <c r="G71" s="9">
        <v>7449</v>
      </c>
      <c r="H71" s="9">
        <v>12510</v>
      </c>
      <c r="I71" s="9">
        <v>10281</v>
      </c>
      <c r="J71" s="9">
        <v>2546</v>
      </c>
      <c r="K71" s="9">
        <v>3926</v>
      </c>
      <c r="L71" s="9">
        <v>3910</v>
      </c>
      <c r="M71" s="9">
        <v>3748</v>
      </c>
      <c r="N71" s="9">
        <f t="shared" si="13"/>
        <v>131291</v>
      </c>
    </row>
    <row r="72" spans="1:14" hidden="1" outlineLevel="1" x14ac:dyDescent="0.2">
      <c r="A72" s="11" t="s">
        <v>20</v>
      </c>
      <c r="B72" s="9">
        <v>307418</v>
      </c>
      <c r="C72" s="9">
        <v>281140</v>
      </c>
      <c r="D72" s="9">
        <v>465864</v>
      </c>
      <c r="E72" s="9">
        <v>426575</v>
      </c>
      <c r="F72" s="9">
        <v>459004</v>
      </c>
      <c r="G72" s="9">
        <v>425486</v>
      </c>
      <c r="H72" s="9">
        <v>373565</v>
      </c>
      <c r="I72" s="9">
        <v>336206</v>
      </c>
      <c r="J72" s="9">
        <v>355134</v>
      </c>
      <c r="K72" s="9">
        <v>417831</v>
      </c>
      <c r="L72" s="9">
        <v>396334</v>
      </c>
      <c r="M72" s="9">
        <v>332786</v>
      </c>
      <c r="N72" s="9">
        <f t="shared" si="13"/>
        <v>4577343</v>
      </c>
    </row>
    <row r="73" spans="1:14" hidden="1" outlineLevel="1" x14ac:dyDescent="0.2">
      <c r="A73" s="11" t="s">
        <v>18</v>
      </c>
      <c r="B73" s="9">
        <v>1434643.2000000002</v>
      </c>
      <c r="C73" s="9">
        <v>1947110.9999999993</v>
      </c>
      <c r="D73" s="9">
        <v>2259032.0999999996</v>
      </c>
      <c r="E73" s="9">
        <v>2005872.7000000002</v>
      </c>
      <c r="F73" s="9">
        <v>2094259.3999999997</v>
      </c>
      <c r="G73" s="9">
        <v>1911743.7999999998</v>
      </c>
      <c r="H73" s="9">
        <v>2115689.4</v>
      </c>
      <c r="I73" s="9">
        <v>2519178.0999999996</v>
      </c>
      <c r="J73" s="9">
        <v>2050779.0999999996</v>
      </c>
      <c r="K73" s="9">
        <v>2283104.1099999994</v>
      </c>
      <c r="L73" s="9">
        <v>2673945.6999999997</v>
      </c>
      <c r="M73" s="9">
        <v>2123917.2999999998</v>
      </c>
      <c r="N73" s="9">
        <f t="shared" si="13"/>
        <v>25419275.909999996</v>
      </c>
    </row>
    <row r="74" spans="1:14" hidden="1" outlineLevel="1" x14ac:dyDescent="0.2">
      <c r="A74" s="11" t="s">
        <v>95</v>
      </c>
      <c r="B74" s="9">
        <v>130165.3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f t="shared" si="13"/>
        <v>130165.3</v>
      </c>
    </row>
    <row r="75" spans="1:14" hidden="1" outlineLevel="1" x14ac:dyDescent="0.2">
      <c r="A75" s="11" t="s">
        <v>106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3588</v>
      </c>
      <c r="K75" s="9">
        <v>29996</v>
      </c>
      <c r="L75" s="9">
        <v>5437</v>
      </c>
      <c r="M75" s="9">
        <v>15198</v>
      </c>
      <c r="N75" s="9">
        <f t="shared" si="13"/>
        <v>54219</v>
      </c>
    </row>
    <row r="76" spans="1:14" hidden="1" outlineLevel="1" x14ac:dyDescent="0.2">
      <c r="A76" s="11" t="s">
        <v>64</v>
      </c>
      <c r="B76" s="9">
        <v>630926</v>
      </c>
      <c r="C76" s="9">
        <v>758415</v>
      </c>
      <c r="D76" s="9">
        <v>973437</v>
      </c>
      <c r="E76" s="9">
        <v>1068175</v>
      </c>
      <c r="F76" s="9">
        <v>969113</v>
      </c>
      <c r="G76" s="9">
        <v>1019734</v>
      </c>
      <c r="H76" s="9">
        <v>1157240</v>
      </c>
      <c r="I76" s="9">
        <v>959819</v>
      </c>
      <c r="J76" s="9">
        <v>996207</v>
      </c>
      <c r="K76" s="9">
        <v>1162017</v>
      </c>
      <c r="L76" s="9">
        <v>1355773</v>
      </c>
      <c r="M76" s="9">
        <v>1256133</v>
      </c>
      <c r="N76" s="9">
        <f t="shared" si="13"/>
        <v>12306989</v>
      </c>
    </row>
    <row r="77" spans="1:14" hidden="1" outlineLevel="1" x14ac:dyDescent="0.2">
      <c r="A77" s="11" t="s">
        <v>35</v>
      </c>
      <c r="B77" s="9">
        <v>1486345</v>
      </c>
      <c r="C77" s="9">
        <v>1251701</v>
      </c>
      <c r="D77" s="9">
        <v>1427529</v>
      </c>
      <c r="E77" s="9">
        <v>1301038</v>
      </c>
      <c r="F77" s="9">
        <v>1401974</v>
      </c>
      <c r="G77" s="9">
        <v>1403590</v>
      </c>
      <c r="H77" s="9">
        <v>1798815</v>
      </c>
      <c r="I77" s="9">
        <v>1669392</v>
      </c>
      <c r="J77" s="9">
        <v>1486928</v>
      </c>
      <c r="K77" s="9">
        <v>1579582</v>
      </c>
      <c r="L77" s="9">
        <v>1447357</v>
      </c>
      <c r="M77" s="9">
        <v>1587815</v>
      </c>
      <c r="N77" s="9">
        <f t="shared" si="13"/>
        <v>17842066</v>
      </c>
    </row>
    <row r="78" spans="1:14" hidden="1" outlineLevel="1" x14ac:dyDescent="0.2">
      <c r="A78" s="11" t="s">
        <v>66</v>
      </c>
      <c r="B78" s="9">
        <v>1266674</v>
      </c>
      <c r="C78" s="9">
        <v>1313030</v>
      </c>
      <c r="D78" s="9">
        <v>1409548</v>
      </c>
      <c r="E78" s="9">
        <v>1382365</v>
      </c>
      <c r="F78" s="9">
        <v>1396650</v>
      </c>
      <c r="G78" s="9">
        <v>1190376</v>
      </c>
      <c r="H78" s="9">
        <v>1086421</v>
      </c>
      <c r="I78" s="9">
        <v>1041488</v>
      </c>
      <c r="J78" s="9">
        <v>922370</v>
      </c>
      <c r="K78" s="9">
        <v>1089505</v>
      </c>
      <c r="L78" s="9">
        <v>922559</v>
      </c>
      <c r="M78" s="9">
        <v>909871</v>
      </c>
      <c r="N78" s="9">
        <f t="shared" si="13"/>
        <v>13930857</v>
      </c>
    </row>
    <row r="79" spans="1:14" hidden="1" outlineLevel="1" x14ac:dyDescent="0.2">
      <c r="A79" s="7" t="s">
        <v>99</v>
      </c>
      <c r="B79" s="9">
        <v>968824</v>
      </c>
      <c r="C79" s="9">
        <v>1204277</v>
      </c>
      <c r="D79" s="9">
        <v>1745847</v>
      </c>
      <c r="E79" s="9">
        <v>1453082</v>
      </c>
      <c r="F79" s="9">
        <v>1791401</v>
      </c>
      <c r="G79" s="9">
        <v>1645945</v>
      </c>
      <c r="H79" s="9">
        <v>1720706</v>
      </c>
      <c r="I79" s="9">
        <v>1714095</v>
      </c>
      <c r="J79" s="9">
        <v>1384036</v>
      </c>
      <c r="K79" s="9">
        <v>1646740</v>
      </c>
      <c r="L79" s="9">
        <v>1576372</v>
      </c>
      <c r="M79" s="9">
        <v>1264298</v>
      </c>
      <c r="N79" s="9">
        <f t="shared" si="13"/>
        <v>18115623</v>
      </c>
    </row>
    <row r="80" spans="1:14" hidden="1" outlineLevel="1" x14ac:dyDescent="0.2">
      <c r="A80" s="7" t="s">
        <v>188</v>
      </c>
      <c r="B80" s="9">
        <v>0</v>
      </c>
      <c r="C80" s="9">
        <v>0</v>
      </c>
      <c r="D80" s="9">
        <v>0</v>
      </c>
      <c r="E80" s="9">
        <v>0</v>
      </c>
      <c r="F80" s="9">
        <v>67865</v>
      </c>
      <c r="G80" s="9">
        <v>354373</v>
      </c>
      <c r="H80" s="9">
        <v>325692</v>
      </c>
      <c r="I80" s="9">
        <v>280550</v>
      </c>
      <c r="J80" s="9">
        <v>476640</v>
      </c>
      <c r="K80" s="9">
        <v>411182</v>
      </c>
      <c r="L80" s="9">
        <v>510077</v>
      </c>
      <c r="M80" s="9">
        <v>291780</v>
      </c>
      <c r="N80" s="9">
        <f t="shared" si="13"/>
        <v>2718159</v>
      </c>
    </row>
    <row r="81" spans="1:14" hidden="1" outlineLevel="1" x14ac:dyDescent="0.2">
      <c r="A81" s="7" t="s">
        <v>26</v>
      </c>
      <c r="B81" s="9">
        <v>0</v>
      </c>
      <c r="C81" s="9">
        <v>0</v>
      </c>
      <c r="D81" s="9">
        <v>4630</v>
      </c>
      <c r="E81" s="9">
        <v>3790</v>
      </c>
      <c r="F81" s="9">
        <v>4500</v>
      </c>
      <c r="G81" s="9">
        <v>9900</v>
      </c>
      <c r="H81" s="9">
        <v>15152</v>
      </c>
      <c r="I81" s="9">
        <v>18095</v>
      </c>
      <c r="J81" s="9">
        <v>41745</v>
      </c>
      <c r="K81" s="9">
        <v>0</v>
      </c>
      <c r="L81" s="9">
        <v>0</v>
      </c>
      <c r="M81" s="9">
        <v>0</v>
      </c>
      <c r="N81" s="9">
        <f t="shared" si="13"/>
        <v>97812</v>
      </c>
    </row>
    <row r="82" spans="1:14" hidden="1" outlineLevel="1" x14ac:dyDescent="0.2">
      <c r="A82" s="45" t="s">
        <v>198</v>
      </c>
      <c r="B82" s="9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28863</v>
      </c>
      <c r="L82" s="9">
        <v>39950</v>
      </c>
      <c r="M82" s="9">
        <v>31089</v>
      </c>
      <c r="N82" s="9">
        <f t="shared" si="13"/>
        <v>99902</v>
      </c>
    </row>
    <row r="83" spans="1:14" collapsed="1" x14ac:dyDescent="0.2">
      <c r="A83" s="22" t="s">
        <v>100</v>
      </c>
      <c r="B83" s="33">
        <f t="shared" ref="B83:N83" si="14">SUM(B84:B86)</f>
        <v>3729005.7000000011</v>
      </c>
      <c r="C83" s="33">
        <f t="shared" si="14"/>
        <v>3222896</v>
      </c>
      <c r="D83" s="33">
        <f t="shared" si="14"/>
        <v>3884448.899999999</v>
      </c>
      <c r="E83" s="33">
        <f t="shared" si="14"/>
        <v>4183252.4000000004</v>
      </c>
      <c r="F83" s="33">
        <f t="shared" si="14"/>
        <v>5026782.8</v>
      </c>
      <c r="G83" s="33">
        <f t="shared" si="14"/>
        <v>4186444.25</v>
      </c>
      <c r="H83" s="33">
        <f t="shared" si="14"/>
        <v>5225607.2699999996</v>
      </c>
      <c r="I83" s="33">
        <f t="shared" si="14"/>
        <v>4717847.0999999996</v>
      </c>
      <c r="J83" s="33">
        <f t="shared" si="14"/>
        <v>4506384.6199999992</v>
      </c>
      <c r="K83" s="33">
        <f t="shared" si="14"/>
        <v>5406302.5999999996</v>
      </c>
      <c r="L83" s="33">
        <f t="shared" si="14"/>
        <v>5669921.5999999996</v>
      </c>
      <c r="M83" s="33">
        <f t="shared" si="14"/>
        <v>6318193.8299999991</v>
      </c>
      <c r="N83" s="33">
        <f t="shared" si="14"/>
        <v>56077087.069999993</v>
      </c>
    </row>
    <row r="84" spans="1:14" hidden="1" outlineLevel="1" x14ac:dyDescent="0.2">
      <c r="A84" s="29" t="s">
        <v>102</v>
      </c>
      <c r="B84" s="9">
        <v>2183724.600000001</v>
      </c>
      <c r="C84" s="9">
        <v>1404231.6999999997</v>
      </c>
      <c r="D84" s="9">
        <v>1812118.5999999992</v>
      </c>
      <c r="E84" s="9">
        <v>1828348.9000000004</v>
      </c>
      <c r="F84" s="9">
        <v>2323955.5</v>
      </c>
      <c r="G84" s="9">
        <v>1856910.6</v>
      </c>
      <c r="H84" s="9">
        <v>2497297.2999999993</v>
      </c>
      <c r="I84" s="9">
        <v>1990495.9000000001</v>
      </c>
      <c r="J84" s="9">
        <v>2113491</v>
      </c>
      <c r="K84" s="9">
        <v>2405586.9</v>
      </c>
      <c r="L84" s="9">
        <v>2302772.3000000003</v>
      </c>
      <c r="M84" s="9">
        <v>3058599.0999999996</v>
      </c>
      <c r="N84" s="9">
        <f t="shared" ref="N84:N86" si="15">SUM(B84:M84)</f>
        <v>25777532.399999999</v>
      </c>
    </row>
    <row r="85" spans="1:14" hidden="1" outlineLevel="1" x14ac:dyDescent="0.2">
      <c r="A85" s="29" t="s">
        <v>111</v>
      </c>
      <c r="B85" s="9">
        <v>797691</v>
      </c>
      <c r="C85" s="9">
        <v>1026198</v>
      </c>
      <c r="D85" s="9">
        <v>1155181</v>
      </c>
      <c r="E85" s="9">
        <v>1009386</v>
      </c>
      <c r="F85" s="9">
        <v>1216541</v>
      </c>
      <c r="G85" s="9">
        <v>953428</v>
      </c>
      <c r="H85" s="9">
        <v>1096044</v>
      </c>
      <c r="I85" s="9">
        <v>1050431</v>
      </c>
      <c r="J85" s="9">
        <v>921997</v>
      </c>
      <c r="K85" s="9">
        <v>1418568</v>
      </c>
      <c r="L85" s="9">
        <v>1322732</v>
      </c>
      <c r="M85" s="9">
        <v>1134996</v>
      </c>
      <c r="N85" s="9">
        <f t="shared" si="15"/>
        <v>13103193</v>
      </c>
    </row>
    <row r="86" spans="1:14" hidden="1" outlineLevel="1" x14ac:dyDescent="0.2">
      <c r="A86" s="29" t="s">
        <v>110</v>
      </c>
      <c r="B86" s="9">
        <v>747590.1</v>
      </c>
      <c r="C86" s="9">
        <v>792466.3</v>
      </c>
      <c r="D86" s="9">
        <v>917149.29999999993</v>
      </c>
      <c r="E86" s="9">
        <v>1345517.5000000002</v>
      </c>
      <c r="F86" s="9">
        <v>1486286.3</v>
      </c>
      <c r="G86" s="9">
        <v>1376105.6500000001</v>
      </c>
      <c r="H86" s="9">
        <v>1632265.97</v>
      </c>
      <c r="I86" s="9">
        <v>1676920.1999999997</v>
      </c>
      <c r="J86" s="9">
        <v>1470896.6199999996</v>
      </c>
      <c r="K86" s="9">
        <v>1582147.6999999997</v>
      </c>
      <c r="L86" s="9">
        <v>2044417.2999999993</v>
      </c>
      <c r="M86" s="9">
        <v>2124598.7299999995</v>
      </c>
      <c r="N86" s="9">
        <f t="shared" si="15"/>
        <v>17196361.669999998</v>
      </c>
    </row>
    <row r="87" spans="1:14" collapsed="1" x14ac:dyDescent="0.2">
      <c r="A87" s="20" t="s">
        <v>0</v>
      </c>
      <c r="B87" s="21">
        <f t="shared" ref="B87:N87" si="16">B37+B50+B53+B67+B83</f>
        <v>30099623.200000003</v>
      </c>
      <c r="C87" s="21">
        <f t="shared" si="16"/>
        <v>27990208</v>
      </c>
      <c r="D87" s="21">
        <f t="shared" si="16"/>
        <v>32190107</v>
      </c>
      <c r="E87" s="21">
        <f t="shared" si="16"/>
        <v>28856691.100000001</v>
      </c>
      <c r="F87" s="21">
        <f t="shared" si="16"/>
        <v>30783319.199999999</v>
      </c>
      <c r="G87" s="21">
        <f t="shared" si="16"/>
        <v>29616981.050000001</v>
      </c>
      <c r="H87" s="21">
        <f t="shared" si="16"/>
        <v>30597003.669999998</v>
      </c>
      <c r="I87" s="21">
        <f t="shared" si="16"/>
        <v>29412085.700000003</v>
      </c>
      <c r="J87" s="21">
        <f t="shared" si="16"/>
        <v>28334429.719999999</v>
      </c>
      <c r="K87" s="21">
        <f t="shared" si="16"/>
        <v>32573017.710000001</v>
      </c>
      <c r="L87" s="21">
        <f t="shared" si="16"/>
        <v>31981743.299999997</v>
      </c>
      <c r="M87" s="21">
        <f t="shared" si="16"/>
        <v>30877155.129999999</v>
      </c>
      <c r="N87" s="21">
        <f t="shared" si="16"/>
        <v>363312364.77999997</v>
      </c>
    </row>
    <row r="88" spans="1:14" x14ac:dyDescent="0.2">
      <c r="N88" s="37"/>
    </row>
    <row r="89" spans="1:14" x14ac:dyDescent="0.2"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</row>
    <row r="90" spans="1:14" x14ac:dyDescent="0.2">
      <c r="B90" s="5"/>
      <c r="C90" s="5"/>
      <c r="D90" s="5"/>
    </row>
    <row r="91" spans="1:14" x14ac:dyDescent="0.2">
      <c r="N91" s="37"/>
    </row>
  </sheetData>
  <pageMargins left="0.75" right="0.75" top="1" bottom="1" header="0" footer="0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8"/>
  <sheetViews>
    <sheetView zoomScale="80" zoomScaleNormal="80" workbookViewId="0">
      <pane ySplit="6" topLeftCell="A964" activePane="bottomLeft" state="frozen"/>
      <selection pane="bottomLeft" activeCell="D969" sqref="D969"/>
    </sheetView>
  </sheetViews>
  <sheetFormatPr baseColWidth="10" defaultRowHeight="12.75" x14ac:dyDescent="0.2"/>
  <cols>
    <col min="1" max="1" width="47.140625" customWidth="1"/>
    <col min="2" max="2" width="27.42578125" customWidth="1"/>
    <col min="3" max="3" width="24.28515625" bestFit="1" customWidth="1"/>
    <col min="4" max="4" width="20.85546875" style="32" customWidth="1"/>
    <col min="5" max="5" width="16.7109375" style="32" customWidth="1"/>
    <col min="6" max="6" width="19.28515625" style="32" customWidth="1"/>
    <col min="7" max="7" width="27.42578125" style="32" customWidth="1"/>
    <col min="8" max="8" width="30.140625" style="32" customWidth="1"/>
    <col min="9" max="9" width="15.85546875" customWidth="1"/>
  </cols>
  <sheetData>
    <row r="1" spans="1:9" ht="15.75" x14ac:dyDescent="0.25">
      <c r="B1" s="25" t="s">
        <v>116</v>
      </c>
      <c r="C1" s="25"/>
      <c r="D1" s="40"/>
      <c r="E1" s="40"/>
      <c r="F1" s="40"/>
      <c r="G1" s="40"/>
      <c r="H1" s="40"/>
      <c r="I1" s="30">
        <v>2015</v>
      </c>
    </row>
    <row r="2" spans="1:9" x14ac:dyDescent="0.2">
      <c r="B2" s="26" t="s">
        <v>144</v>
      </c>
      <c r="C2" s="26"/>
      <c r="D2" s="41"/>
      <c r="E2" s="41"/>
      <c r="F2" s="41"/>
      <c r="G2" s="41"/>
      <c r="H2" s="41"/>
      <c r="I2" s="26"/>
    </row>
    <row r="3" spans="1:9" ht="15" x14ac:dyDescent="0.25">
      <c r="B3" s="27" t="s">
        <v>139</v>
      </c>
      <c r="C3" s="27"/>
      <c r="D3" s="42"/>
      <c r="E3" s="42"/>
      <c r="F3" s="42"/>
      <c r="G3" s="42"/>
      <c r="H3" s="42"/>
      <c r="I3" s="27"/>
    </row>
    <row r="4" spans="1:9" x14ac:dyDescent="0.2">
      <c r="B4" s="28" t="s">
        <v>138</v>
      </c>
      <c r="C4" s="28"/>
      <c r="D4" s="43"/>
      <c r="E4" s="43"/>
      <c r="F4" s="43"/>
      <c r="G4" s="43"/>
      <c r="H4" s="43"/>
      <c r="I4" s="28"/>
    </row>
    <row r="6" spans="1:9" s="35" customFormat="1" ht="27" customHeight="1" x14ac:dyDescent="0.2">
      <c r="A6" s="24" t="s">
        <v>82</v>
      </c>
      <c r="B6" s="24" t="s">
        <v>140</v>
      </c>
      <c r="C6" s="24" t="s">
        <v>141</v>
      </c>
      <c r="D6" s="44" t="s">
        <v>142</v>
      </c>
      <c r="E6" s="44" t="s">
        <v>143</v>
      </c>
      <c r="F6" s="44" t="s">
        <v>145</v>
      </c>
      <c r="G6" s="44" t="s">
        <v>167</v>
      </c>
      <c r="H6" s="44" t="s">
        <v>146</v>
      </c>
      <c r="I6" s="24" t="s">
        <v>168</v>
      </c>
    </row>
    <row r="7" spans="1:9" x14ac:dyDescent="0.2">
      <c r="A7" t="s">
        <v>108</v>
      </c>
      <c r="B7" t="s">
        <v>149</v>
      </c>
      <c r="C7" t="s">
        <v>155</v>
      </c>
      <c r="D7" s="32">
        <v>349.9666666666667</v>
      </c>
      <c r="E7" s="32">
        <v>391</v>
      </c>
      <c r="F7" s="32">
        <v>61035</v>
      </c>
      <c r="G7" s="32">
        <v>425</v>
      </c>
      <c r="H7" s="32">
        <v>129694</v>
      </c>
      <c r="I7" s="15" t="s">
        <v>157</v>
      </c>
    </row>
    <row r="8" spans="1:9" x14ac:dyDescent="0.2">
      <c r="A8" t="s">
        <v>4</v>
      </c>
      <c r="B8" t="s">
        <v>149</v>
      </c>
      <c r="C8" t="s">
        <v>155</v>
      </c>
      <c r="D8" s="32">
        <v>2943.8333333333339</v>
      </c>
      <c r="E8" s="32">
        <v>0</v>
      </c>
      <c r="F8" s="32">
        <v>329548</v>
      </c>
      <c r="G8" s="32">
        <v>0</v>
      </c>
      <c r="H8" s="32">
        <v>1028826</v>
      </c>
      <c r="I8" s="15" t="s">
        <v>157</v>
      </c>
    </row>
    <row r="9" spans="1:9" x14ac:dyDescent="0.2">
      <c r="A9" t="s">
        <v>2</v>
      </c>
      <c r="B9" t="s">
        <v>149</v>
      </c>
      <c r="C9" t="s">
        <v>155</v>
      </c>
      <c r="D9" s="32">
        <v>8597.2166666666762</v>
      </c>
      <c r="E9" s="32">
        <v>10383</v>
      </c>
      <c r="F9" s="32">
        <v>4281031</v>
      </c>
      <c r="G9" s="32">
        <v>0</v>
      </c>
      <c r="H9" s="32">
        <v>4284435</v>
      </c>
      <c r="I9" s="15" t="s">
        <v>157</v>
      </c>
    </row>
    <row r="10" spans="1:9" x14ac:dyDescent="0.2">
      <c r="A10" t="s">
        <v>1</v>
      </c>
      <c r="B10" t="s">
        <v>149</v>
      </c>
      <c r="C10" t="s">
        <v>155</v>
      </c>
      <c r="D10" s="32">
        <v>15887.766666666652</v>
      </c>
      <c r="E10" s="32">
        <v>243.3219</v>
      </c>
      <c r="F10" s="32">
        <v>6153725.8240999868</v>
      </c>
      <c r="G10" s="32">
        <v>0</v>
      </c>
      <c r="H10" s="32">
        <v>6869942</v>
      </c>
      <c r="I10" s="15" t="s">
        <v>157</v>
      </c>
    </row>
    <row r="11" spans="1:9" x14ac:dyDescent="0.2">
      <c r="A11" t="s">
        <v>57</v>
      </c>
      <c r="B11" t="s">
        <v>149</v>
      </c>
      <c r="C11" t="s">
        <v>155</v>
      </c>
      <c r="D11" s="32">
        <v>78.033333333333346</v>
      </c>
      <c r="E11" s="32">
        <v>0</v>
      </c>
      <c r="F11" s="32">
        <v>0</v>
      </c>
      <c r="G11" s="32">
        <v>0</v>
      </c>
      <c r="H11" s="32">
        <v>30447</v>
      </c>
      <c r="I11" s="15" t="s">
        <v>157</v>
      </c>
    </row>
    <row r="12" spans="1:9" x14ac:dyDescent="0.2">
      <c r="A12" t="s">
        <v>28</v>
      </c>
      <c r="B12" t="s">
        <v>149</v>
      </c>
      <c r="C12" t="s">
        <v>155</v>
      </c>
      <c r="D12" s="32">
        <v>638.91666666666652</v>
      </c>
      <c r="E12" s="32">
        <v>0</v>
      </c>
      <c r="F12" s="32">
        <v>0</v>
      </c>
      <c r="G12" s="32">
        <v>0</v>
      </c>
      <c r="H12" s="32">
        <v>300885</v>
      </c>
      <c r="I12" s="15" t="s">
        <v>157</v>
      </c>
    </row>
    <row r="13" spans="1:9" x14ac:dyDescent="0.2">
      <c r="A13" t="s">
        <v>3</v>
      </c>
      <c r="B13" t="s">
        <v>149</v>
      </c>
      <c r="C13" t="s">
        <v>155</v>
      </c>
      <c r="D13" s="32">
        <v>9333.0833333333248</v>
      </c>
      <c r="E13" s="32">
        <v>0</v>
      </c>
      <c r="F13" s="32">
        <v>4989757.3999999994</v>
      </c>
      <c r="G13" s="32">
        <v>0</v>
      </c>
      <c r="H13" s="32">
        <v>6077650</v>
      </c>
      <c r="I13" s="15" t="s">
        <v>157</v>
      </c>
    </row>
    <row r="14" spans="1:9" x14ac:dyDescent="0.2">
      <c r="A14" t="s">
        <v>6</v>
      </c>
      <c r="B14" t="s">
        <v>149</v>
      </c>
      <c r="C14" t="s">
        <v>155</v>
      </c>
      <c r="D14" s="32">
        <v>1253.166666666667</v>
      </c>
      <c r="E14" s="32">
        <v>0</v>
      </c>
      <c r="F14" s="32">
        <v>0</v>
      </c>
      <c r="G14" s="32">
        <v>0</v>
      </c>
      <c r="H14" s="32">
        <v>774094</v>
      </c>
      <c r="I14" s="15" t="s">
        <v>157</v>
      </c>
    </row>
    <row r="15" spans="1:9" x14ac:dyDescent="0.2">
      <c r="A15" t="s">
        <v>29</v>
      </c>
      <c r="B15" t="s">
        <v>149</v>
      </c>
      <c r="C15" t="s">
        <v>155</v>
      </c>
      <c r="D15" s="32">
        <v>36.516666666666666</v>
      </c>
      <c r="E15" s="32">
        <v>0</v>
      </c>
      <c r="F15" s="32">
        <v>0</v>
      </c>
      <c r="G15" s="32">
        <v>0</v>
      </c>
      <c r="H15" s="32">
        <v>14229</v>
      </c>
      <c r="I15" s="15" t="s">
        <v>157</v>
      </c>
    </row>
    <row r="16" spans="1:9" x14ac:dyDescent="0.2">
      <c r="A16" t="s">
        <v>103</v>
      </c>
      <c r="B16" t="s">
        <v>149</v>
      </c>
      <c r="C16" t="s">
        <v>155</v>
      </c>
      <c r="D16" s="32">
        <v>599.48333333333335</v>
      </c>
      <c r="E16" s="32">
        <v>0</v>
      </c>
      <c r="F16" s="32">
        <v>163062</v>
      </c>
      <c r="G16" s="32">
        <v>0</v>
      </c>
      <c r="H16" s="32">
        <v>257482</v>
      </c>
      <c r="I16" s="15" t="s">
        <v>157</v>
      </c>
    </row>
    <row r="17" spans="1:9" x14ac:dyDescent="0.2">
      <c r="A17" t="s">
        <v>5</v>
      </c>
      <c r="B17" t="s">
        <v>149</v>
      </c>
      <c r="C17" t="s">
        <v>155</v>
      </c>
      <c r="D17" s="32">
        <v>1290.616666666667</v>
      </c>
      <c r="E17" s="32">
        <v>0</v>
      </c>
      <c r="F17" s="32">
        <v>2593481</v>
      </c>
      <c r="G17" s="32">
        <v>0</v>
      </c>
      <c r="H17" s="32">
        <v>2438348</v>
      </c>
      <c r="I17" s="15" t="s">
        <v>157</v>
      </c>
    </row>
    <row r="18" spans="1:9" x14ac:dyDescent="0.2">
      <c r="A18" t="s">
        <v>50</v>
      </c>
      <c r="B18" t="s">
        <v>149</v>
      </c>
      <c r="C18" t="s">
        <v>155</v>
      </c>
      <c r="D18" s="32">
        <v>10876.20000000001</v>
      </c>
      <c r="E18" s="32">
        <v>0</v>
      </c>
      <c r="F18" s="32">
        <v>0</v>
      </c>
      <c r="G18" s="32">
        <v>0</v>
      </c>
      <c r="H18" s="32">
        <v>7715709</v>
      </c>
      <c r="I18" s="15" t="s">
        <v>157</v>
      </c>
    </row>
    <row r="19" spans="1:9" x14ac:dyDescent="0.2">
      <c r="A19" t="s">
        <v>4</v>
      </c>
      <c r="B19" t="s">
        <v>149</v>
      </c>
      <c r="C19" t="s">
        <v>156</v>
      </c>
      <c r="D19" s="32">
        <v>76.833333333333343</v>
      </c>
      <c r="E19" s="32">
        <v>0</v>
      </c>
      <c r="F19" s="32">
        <v>22135</v>
      </c>
      <c r="G19" s="32">
        <v>0</v>
      </c>
      <c r="H19" s="32">
        <v>35738</v>
      </c>
      <c r="I19" s="15" t="s">
        <v>157</v>
      </c>
    </row>
    <row r="20" spans="1:9" x14ac:dyDescent="0.2">
      <c r="A20" t="s">
        <v>2</v>
      </c>
      <c r="B20" t="s">
        <v>149</v>
      </c>
      <c r="C20" t="s">
        <v>156</v>
      </c>
      <c r="D20" s="32">
        <v>16183.700000000015</v>
      </c>
      <c r="E20" s="32">
        <v>42497</v>
      </c>
      <c r="F20" s="32">
        <v>6834126</v>
      </c>
      <c r="G20" s="32">
        <v>0</v>
      </c>
      <c r="H20" s="32">
        <v>11007350</v>
      </c>
      <c r="I20" s="15" t="s">
        <v>157</v>
      </c>
    </row>
    <row r="21" spans="1:9" x14ac:dyDescent="0.2">
      <c r="A21" t="s">
        <v>1</v>
      </c>
      <c r="B21" t="s">
        <v>149</v>
      </c>
      <c r="C21" t="s">
        <v>156</v>
      </c>
      <c r="D21" s="32">
        <v>2783.5166666666687</v>
      </c>
      <c r="E21" s="32">
        <v>2</v>
      </c>
      <c r="F21" s="32">
        <v>1159707.4586999998</v>
      </c>
      <c r="G21" s="32">
        <v>0</v>
      </c>
      <c r="H21" s="32">
        <v>1451543</v>
      </c>
      <c r="I21" s="15" t="s">
        <v>157</v>
      </c>
    </row>
    <row r="22" spans="1:9" x14ac:dyDescent="0.2">
      <c r="A22" t="s">
        <v>57</v>
      </c>
      <c r="B22" t="s">
        <v>149</v>
      </c>
      <c r="C22" t="s">
        <v>156</v>
      </c>
      <c r="D22" s="32">
        <v>398.7</v>
      </c>
      <c r="E22" s="32">
        <v>0</v>
      </c>
      <c r="F22" s="32">
        <v>0</v>
      </c>
      <c r="G22" s="32">
        <v>0</v>
      </c>
      <c r="H22" s="32">
        <v>273147</v>
      </c>
      <c r="I22" s="15" t="s">
        <v>157</v>
      </c>
    </row>
    <row r="23" spans="1:9" x14ac:dyDescent="0.2">
      <c r="A23" t="s">
        <v>28</v>
      </c>
      <c r="B23" t="s">
        <v>149</v>
      </c>
      <c r="C23" t="s">
        <v>156</v>
      </c>
      <c r="D23" s="32">
        <v>73.333333333333343</v>
      </c>
      <c r="E23" s="32">
        <v>0</v>
      </c>
      <c r="F23" s="32">
        <v>0</v>
      </c>
      <c r="G23" s="32">
        <v>0</v>
      </c>
      <c r="H23" s="32">
        <v>38593</v>
      </c>
      <c r="I23" s="15" t="s">
        <v>157</v>
      </c>
    </row>
    <row r="24" spans="1:9" x14ac:dyDescent="0.2">
      <c r="A24" t="s">
        <v>3</v>
      </c>
      <c r="B24" t="s">
        <v>149</v>
      </c>
      <c r="C24" t="s">
        <v>156</v>
      </c>
      <c r="D24" s="32">
        <v>2307.1333333333318</v>
      </c>
      <c r="E24" s="32">
        <v>0</v>
      </c>
      <c r="F24" s="32">
        <v>709324.60000000033</v>
      </c>
      <c r="G24" s="32">
        <v>0</v>
      </c>
      <c r="H24" s="32">
        <v>1728537</v>
      </c>
      <c r="I24" s="15" t="s">
        <v>157</v>
      </c>
    </row>
    <row r="25" spans="1:9" x14ac:dyDescent="0.2">
      <c r="A25" t="s">
        <v>29</v>
      </c>
      <c r="B25" t="s">
        <v>149</v>
      </c>
      <c r="C25" t="s">
        <v>156</v>
      </c>
      <c r="D25" s="32">
        <v>384.53333333333325</v>
      </c>
      <c r="E25" s="32">
        <v>0</v>
      </c>
      <c r="F25" s="32">
        <v>0</v>
      </c>
      <c r="G25" s="32">
        <v>0</v>
      </c>
      <c r="H25" s="32">
        <v>262016</v>
      </c>
      <c r="I25" s="15" t="s">
        <v>157</v>
      </c>
    </row>
    <row r="26" spans="1:9" x14ac:dyDescent="0.2">
      <c r="A26" t="s">
        <v>5</v>
      </c>
      <c r="B26" t="s">
        <v>149</v>
      </c>
      <c r="C26" t="s">
        <v>156</v>
      </c>
      <c r="D26" s="32">
        <v>129.30000000000004</v>
      </c>
      <c r="E26" s="32">
        <v>0</v>
      </c>
      <c r="F26" s="32">
        <v>152591</v>
      </c>
      <c r="G26" s="32">
        <v>0</v>
      </c>
      <c r="H26" s="32">
        <v>183660</v>
      </c>
      <c r="I26" s="15" t="s">
        <v>157</v>
      </c>
    </row>
    <row r="27" spans="1:9" x14ac:dyDescent="0.2">
      <c r="A27" t="s">
        <v>50</v>
      </c>
      <c r="B27" t="s">
        <v>149</v>
      </c>
      <c r="C27" t="s">
        <v>156</v>
      </c>
      <c r="D27" s="32">
        <v>4401.7833333333328</v>
      </c>
      <c r="E27" s="32">
        <v>0</v>
      </c>
      <c r="F27" s="32">
        <v>0</v>
      </c>
      <c r="G27" s="32">
        <v>0</v>
      </c>
      <c r="H27" s="32">
        <v>3280882</v>
      </c>
      <c r="I27" s="15" t="s">
        <v>157</v>
      </c>
    </row>
    <row r="28" spans="1:9" x14ac:dyDescent="0.2">
      <c r="A28" t="s">
        <v>61</v>
      </c>
      <c r="B28" t="s">
        <v>150</v>
      </c>
      <c r="C28" t="s">
        <v>156</v>
      </c>
      <c r="D28" s="32">
        <v>127.58333333333336</v>
      </c>
      <c r="E28" s="32">
        <v>0</v>
      </c>
      <c r="F28" s="32">
        <v>0</v>
      </c>
      <c r="G28" s="32">
        <v>0</v>
      </c>
      <c r="H28" s="32">
        <v>144750</v>
      </c>
      <c r="I28" s="15" t="s">
        <v>157</v>
      </c>
    </row>
    <row r="29" spans="1:9" x14ac:dyDescent="0.2">
      <c r="A29" t="s">
        <v>10</v>
      </c>
      <c r="B29" t="s">
        <v>150</v>
      </c>
      <c r="C29" t="s">
        <v>156</v>
      </c>
      <c r="D29" s="32">
        <v>5779.9833333333354</v>
      </c>
      <c r="E29" s="32">
        <v>781</v>
      </c>
      <c r="F29" s="32">
        <v>29962086</v>
      </c>
      <c r="G29" s="32">
        <v>0</v>
      </c>
      <c r="H29" s="32">
        <v>2438225</v>
      </c>
      <c r="I29" s="15" t="s">
        <v>157</v>
      </c>
    </row>
    <row r="30" spans="1:9" x14ac:dyDescent="0.2">
      <c r="A30" t="s">
        <v>8</v>
      </c>
      <c r="B30" t="s">
        <v>150</v>
      </c>
      <c r="C30" t="s">
        <v>156</v>
      </c>
      <c r="D30" s="32">
        <v>7787.166666666667</v>
      </c>
      <c r="E30" s="32">
        <v>54150</v>
      </c>
      <c r="F30" s="32">
        <v>4136232</v>
      </c>
      <c r="G30" s="32">
        <v>0</v>
      </c>
      <c r="H30" s="32">
        <v>4623701</v>
      </c>
      <c r="I30" s="15" t="s">
        <v>157</v>
      </c>
    </row>
    <row r="31" spans="1:9" x14ac:dyDescent="0.2">
      <c r="A31" t="s">
        <v>17</v>
      </c>
      <c r="B31" t="s">
        <v>150</v>
      </c>
      <c r="C31" t="s">
        <v>156</v>
      </c>
      <c r="D31" s="32">
        <v>127.66666666666666</v>
      </c>
      <c r="E31" s="32">
        <v>0</v>
      </c>
      <c r="F31" s="32">
        <v>0</v>
      </c>
      <c r="G31" s="32">
        <v>0</v>
      </c>
      <c r="H31" s="32">
        <v>90162</v>
      </c>
      <c r="I31" s="15" t="s">
        <v>157</v>
      </c>
    </row>
    <row r="32" spans="1:9" x14ac:dyDescent="0.2">
      <c r="A32" t="s">
        <v>52</v>
      </c>
      <c r="B32" t="s">
        <v>150</v>
      </c>
      <c r="C32" t="s">
        <v>156</v>
      </c>
      <c r="D32" s="32">
        <v>120</v>
      </c>
      <c r="E32" s="32">
        <v>0</v>
      </c>
      <c r="F32" s="32">
        <v>0</v>
      </c>
      <c r="G32" s="32">
        <v>0</v>
      </c>
      <c r="H32" s="32">
        <v>73484</v>
      </c>
      <c r="I32" s="15" t="s">
        <v>157</v>
      </c>
    </row>
    <row r="33" spans="1:9" x14ac:dyDescent="0.2">
      <c r="A33" t="s">
        <v>7</v>
      </c>
      <c r="B33" t="s">
        <v>150</v>
      </c>
      <c r="C33" t="s">
        <v>156</v>
      </c>
      <c r="D33" s="32">
        <v>3901.5000000000023</v>
      </c>
      <c r="E33" s="32">
        <v>0</v>
      </c>
      <c r="F33" s="32">
        <v>0</v>
      </c>
      <c r="G33" s="32">
        <v>0</v>
      </c>
      <c r="H33" s="32">
        <v>2528024</v>
      </c>
      <c r="I33" s="15" t="s">
        <v>157</v>
      </c>
    </row>
    <row r="34" spans="1:9" x14ac:dyDescent="0.2">
      <c r="A34" t="s">
        <v>9</v>
      </c>
      <c r="B34" t="s">
        <v>150</v>
      </c>
      <c r="C34" t="s">
        <v>156</v>
      </c>
      <c r="D34" s="32">
        <v>8962.5000000000091</v>
      </c>
      <c r="E34" s="32">
        <v>15709</v>
      </c>
      <c r="F34" s="32">
        <v>4738760</v>
      </c>
      <c r="G34" s="32">
        <v>0</v>
      </c>
      <c r="H34" s="32">
        <v>5812900</v>
      </c>
      <c r="I34" s="15" t="s">
        <v>157</v>
      </c>
    </row>
    <row r="35" spans="1:9" x14ac:dyDescent="0.2">
      <c r="A35" t="s">
        <v>169</v>
      </c>
      <c r="B35" t="s">
        <v>150</v>
      </c>
      <c r="C35" t="s">
        <v>156</v>
      </c>
      <c r="D35" s="32">
        <v>2197.7499999999827</v>
      </c>
      <c r="E35" s="32">
        <v>0</v>
      </c>
      <c r="F35" s="32">
        <v>518749</v>
      </c>
      <c r="G35" s="32">
        <v>0</v>
      </c>
      <c r="H35" s="32">
        <v>1196284</v>
      </c>
      <c r="I35" s="15" t="s">
        <v>157</v>
      </c>
    </row>
    <row r="36" spans="1:9" x14ac:dyDescent="0.2">
      <c r="A36" t="s">
        <v>14</v>
      </c>
      <c r="B36" t="s">
        <v>150</v>
      </c>
      <c r="C36" t="s">
        <v>156</v>
      </c>
      <c r="D36" s="32">
        <v>374</v>
      </c>
      <c r="E36" s="32">
        <v>0</v>
      </c>
      <c r="F36" s="32">
        <v>0</v>
      </c>
      <c r="G36" s="32">
        <v>0</v>
      </c>
      <c r="H36" s="32">
        <v>295523</v>
      </c>
      <c r="I36" s="15" t="s">
        <v>157</v>
      </c>
    </row>
    <row r="37" spans="1:9" x14ac:dyDescent="0.2">
      <c r="A37" t="s">
        <v>13</v>
      </c>
      <c r="B37" t="s">
        <v>150</v>
      </c>
      <c r="C37" t="s">
        <v>156</v>
      </c>
      <c r="D37" s="32">
        <v>1591.5333333333315</v>
      </c>
      <c r="E37" s="32">
        <v>0</v>
      </c>
      <c r="F37" s="32">
        <v>1314920</v>
      </c>
      <c r="G37" s="32">
        <v>0</v>
      </c>
      <c r="H37" s="32">
        <v>1160309</v>
      </c>
      <c r="I37" s="15" t="s">
        <v>157</v>
      </c>
    </row>
    <row r="38" spans="1:9" x14ac:dyDescent="0.2">
      <c r="A38" t="s">
        <v>60</v>
      </c>
      <c r="B38" t="s">
        <v>150</v>
      </c>
      <c r="C38" t="s">
        <v>156</v>
      </c>
      <c r="D38" s="32">
        <v>89.933333333333351</v>
      </c>
      <c r="E38" s="32">
        <v>0</v>
      </c>
      <c r="F38" s="32">
        <v>48240</v>
      </c>
      <c r="G38" s="32">
        <v>0</v>
      </c>
      <c r="H38" s="32">
        <v>42218</v>
      </c>
      <c r="I38" s="15" t="s">
        <v>157</v>
      </c>
    </row>
    <row r="39" spans="1:9" x14ac:dyDescent="0.2">
      <c r="A39" t="s">
        <v>58</v>
      </c>
      <c r="B39" t="s">
        <v>150</v>
      </c>
      <c r="C39" t="s">
        <v>156</v>
      </c>
      <c r="D39" s="32">
        <v>849.51666666666631</v>
      </c>
      <c r="E39" s="32">
        <v>0</v>
      </c>
      <c r="F39" s="32">
        <v>444647</v>
      </c>
      <c r="G39" s="32">
        <v>0</v>
      </c>
      <c r="H39" s="32">
        <v>602454</v>
      </c>
      <c r="I39" s="15" t="s">
        <v>157</v>
      </c>
    </row>
    <row r="40" spans="1:9" x14ac:dyDescent="0.2">
      <c r="A40" t="s">
        <v>59</v>
      </c>
      <c r="B40" t="s">
        <v>150</v>
      </c>
      <c r="C40" t="s">
        <v>156</v>
      </c>
      <c r="D40" s="32">
        <v>131.66666666666666</v>
      </c>
      <c r="E40" s="32">
        <v>0</v>
      </c>
      <c r="F40" s="32">
        <v>49913</v>
      </c>
      <c r="G40" s="32">
        <v>0</v>
      </c>
      <c r="H40" s="32">
        <v>81181</v>
      </c>
      <c r="I40" s="15" t="s">
        <v>157</v>
      </c>
    </row>
    <row r="41" spans="1:9" x14ac:dyDescent="0.2">
      <c r="A41" t="s">
        <v>38</v>
      </c>
      <c r="B41" t="s">
        <v>150</v>
      </c>
      <c r="C41" t="s">
        <v>156</v>
      </c>
      <c r="D41" s="32">
        <v>1070.4166666666661</v>
      </c>
      <c r="E41" s="32">
        <v>0</v>
      </c>
      <c r="F41" s="32">
        <v>492081</v>
      </c>
      <c r="G41" s="32">
        <v>0</v>
      </c>
      <c r="H41" s="32">
        <v>749275</v>
      </c>
      <c r="I41" s="15" t="s">
        <v>157</v>
      </c>
    </row>
    <row r="42" spans="1:9" x14ac:dyDescent="0.2">
      <c r="A42" t="s">
        <v>88</v>
      </c>
      <c r="B42" t="s">
        <v>150</v>
      </c>
      <c r="C42" t="s">
        <v>156</v>
      </c>
      <c r="D42" s="32">
        <v>1994.1666666666679</v>
      </c>
      <c r="E42" s="32">
        <v>0</v>
      </c>
      <c r="F42" s="32">
        <v>0</v>
      </c>
      <c r="G42" s="32">
        <v>0</v>
      </c>
      <c r="H42" s="32">
        <v>1383930</v>
      </c>
      <c r="I42" s="15" t="s">
        <v>157</v>
      </c>
    </row>
    <row r="43" spans="1:9" x14ac:dyDescent="0.2">
      <c r="A43" t="s">
        <v>109</v>
      </c>
      <c r="B43" t="s">
        <v>150</v>
      </c>
      <c r="C43" t="s">
        <v>156</v>
      </c>
      <c r="D43" s="32">
        <v>2008.6500000000042</v>
      </c>
      <c r="E43" s="32">
        <v>0</v>
      </c>
      <c r="F43" s="32">
        <v>1112340</v>
      </c>
      <c r="G43" s="32">
        <v>0</v>
      </c>
      <c r="H43" s="32">
        <v>1279759</v>
      </c>
      <c r="I43" s="15" t="s">
        <v>157</v>
      </c>
    </row>
    <row r="44" spans="1:9" x14ac:dyDescent="0.2">
      <c r="A44" t="s">
        <v>16</v>
      </c>
      <c r="B44" t="s">
        <v>150</v>
      </c>
      <c r="C44" t="s">
        <v>156</v>
      </c>
      <c r="D44" s="32">
        <v>595.1</v>
      </c>
      <c r="E44" s="32">
        <v>0</v>
      </c>
      <c r="F44" s="32">
        <v>253794.36363469998</v>
      </c>
      <c r="G44" s="32">
        <v>0</v>
      </c>
      <c r="H44" s="32">
        <v>360988</v>
      </c>
      <c r="I44" s="15" t="s">
        <v>157</v>
      </c>
    </row>
    <row r="45" spans="1:9" x14ac:dyDescent="0.2">
      <c r="A45" t="s">
        <v>90</v>
      </c>
      <c r="B45" t="s">
        <v>150</v>
      </c>
      <c r="C45" t="s">
        <v>156</v>
      </c>
      <c r="D45" s="32">
        <v>6836.0999999999985</v>
      </c>
      <c r="E45" s="32">
        <v>889</v>
      </c>
      <c r="F45" s="32">
        <v>3695567</v>
      </c>
      <c r="G45" s="32">
        <v>0</v>
      </c>
      <c r="H45" s="32">
        <v>5025990</v>
      </c>
      <c r="I45" s="15" t="s">
        <v>157</v>
      </c>
    </row>
    <row r="46" spans="1:9" x14ac:dyDescent="0.2">
      <c r="A46" t="s">
        <v>15</v>
      </c>
      <c r="B46" t="s">
        <v>150</v>
      </c>
      <c r="C46" t="s">
        <v>156</v>
      </c>
      <c r="D46" s="32">
        <v>306</v>
      </c>
      <c r="E46" s="32">
        <v>0</v>
      </c>
      <c r="F46" s="32">
        <v>0</v>
      </c>
      <c r="G46" s="32">
        <v>0</v>
      </c>
      <c r="H46" s="32">
        <v>209342</v>
      </c>
      <c r="I46" s="15" t="s">
        <v>157</v>
      </c>
    </row>
    <row r="47" spans="1:9" x14ac:dyDescent="0.2">
      <c r="A47" t="s">
        <v>30</v>
      </c>
      <c r="B47" t="s">
        <v>150</v>
      </c>
      <c r="C47" t="s">
        <v>156</v>
      </c>
      <c r="D47" s="32">
        <v>3425.2333333333345</v>
      </c>
      <c r="E47" s="32">
        <v>0</v>
      </c>
      <c r="F47" s="32">
        <v>1635666</v>
      </c>
      <c r="G47" s="32">
        <v>0</v>
      </c>
      <c r="H47" s="32">
        <v>2100539</v>
      </c>
      <c r="I47" s="15" t="s">
        <v>157</v>
      </c>
    </row>
    <row r="48" spans="1:9" x14ac:dyDescent="0.2">
      <c r="A48" t="s">
        <v>73</v>
      </c>
      <c r="B48" t="s">
        <v>150</v>
      </c>
      <c r="C48" t="s">
        <v>156</v>
      </c>
      <c r="D48" s="32">
        <v>343.14999999999992</v>
      </c>
      <c r="E48" s="32">
        <v>0</v>
      </c>
      <c r="F48" s="32">
        <v>186480</v>
      </c>
      <c r="G48" s="32">
        <v>0</v>
      </c>
      <c r="H48" s="32">
        <v>252279</v>
      </c>
      <c r="I48" s="15" t="s">
        <v>157</v>
      </c>
    </row>
    <row r="49" spans="1:9" x14ac:dyDescent="0.2">
      <c r="A49" t="s">
        <v>12</v>
      </c>
      <c r="B49" t="s">
        <v>151</v>
      </c>
      <c r="C49" t="s">
        <v>156</v>
      </c>
      <c r="D49" s="32">
        <v>2782.2833333333269</v>
      </c>
      <c r="E49" s="32">
        <v>54019</v>
      </c>
      <c r="F49" s="32">
        <v>1480381</v>
      </c>
      <c r="G49" s="32">
        <v>0</v>
      </c>
      <c r="H49" s="32">
        <v>1931889</v>
      </c>
      <c r="I49" s="15" t="s">
        <v>157</v>
      </c>
    </row>
    <row r="50" spans="1:9" x14ac:dyDescent="0.2">
      <c r="A50" t="s">
        <v>68</v>
      </c>
      <c r="B50" t="s">
        <v>151</v>
      </c>
      <c r="C50" t="s">
        <v>156</v>
      </c>
      <c r="D50" s="32">
        <v>1233.0999999999992</v>
      </c>
      <c r="E50" s="32">
        <v>0</v>
      </c>
      <c r="F50" s="32">
        <v>1398339</v>
      </c>
      <c r="G50" s="32">
        <v>0</v>
      </c>
      <c r="H50" s="32">
        <v>1062313</v>
      </c>
      <c r="I50" s="15" t="s">
        <v>157</v>
      </c>
    </row>
    <row r="51" spans="1:9" x14ac:dyDescent="0.2">
      <c r="A51" t="s">
        <v>69</v>
      </c>
      <c r="B51" t="s">
        <v>151</v>
      </c>
      <c r="C51" t="s">
        <v>156</v>
      </c>
      <c r="D51" s="32">
        <v>3160.1500000000024</v>
      </c>
      <c r="E51" s="32">
        <v>0</v>
      </c>
      <c r="F51" s="32">
        <v>2039936</v>
      </c>
      <c r="G51" s="32">
        <v>0</v>
      </c>
      <c r="H51" s="32">
        <v>2682023</v>
      </c>
      <c r="I51" s="15" t="s">
        <v>157</v>
      </c>
    </row>
    <row r="52" spans="1:9" x14ac:dyDescent="0.2">
      <c r="A52" t="s">
        <v>37</v>
      </c>
      <c r="B52" t="s">
        <v>151</v>
      </c>
      <c r="C52" t="s">
        <v>156</v>
      </c>
      <c r="D52" s="32">
        <v>3848.1333333333519</v>
      </c>
      <c r="E52" s="32">
        <v>0</v>
      </c>
      <c r="F52" s="32">
        <v>2083171</v>
      </c>
      <c r="G52" s="32">
        <v>0</v>
      </c>
      <c r="H52" s="32">
        <v>3474528</v>
      </c>
      <c r="I52" s="15" t="s">
        <v>157</v>
      </c>
    </row>
    <row r="53" spans="1:9" x14ac:dyDescent="0.2">
      <c r="A53" t="s">
        <v>147</v>
      </c>
      <c r="B53" t="s">
        <v>152</v>
      </c>
      <c r="C53" t="s">
        <v>156</v>
      </c>
      <c r="D53" s="32">
        <v>281.33333333333337</v>
      </c>
      <c r="E53" s="32">
        <v>0</v>
      </c>
      <c r="F53" s="32">
        <v>99073</v>
      </c>
      <c r="G53" s="32">
        <v>0</v>
      </c>
      <c r="H53" s="32">
        <v>219280</v>
      </c>
      <c r="I53" s="15" t="s">
        <v>157</v>
      </c>
    </row>
    <row r="54" spans="1:9" x14ac:dyDescent="0.2">
      <c r="A54" t="s">
        <v>76</v>
      </c>
      <c r="B54" t="s">
        <v>152</v>
      </c>
      <c r="C54" t="s">
        <v>156</v>
      </c>
      <c r="D54" s="32">
        <v>459.8333333333332</v>
      </c>
      <c r="E54" s="32">
        <v>0</v>
      </c>
      <c r="F54" s="32">
        <v>188028</v>
      </c>
      <c r="G54" s="32">
        <v>296</v>
      </c>
      <c r="H54" s="32">
        <v>365738</v>
      </c>
      <c r="I54" s="15" t="s">
        <v>157</v>
      </c>
    </row>
    <row r="55" spans="1:9" x14ac:dyDescent="0.2">
      <c r="A55" t="s">
        <v>34</v>
      </c>
      <c r="B55" t="s">
        <v>152</v>
      </c>
      <c r="C55" t="s">
        <v>156</v>
      </c>
      <c r="D55" s="32">
        <v>1221.0000000000002</v>
      </c>
      <c r="E55" s="32">
        <v>1136</v>
      </c>
      <c r="F55" s="32">
        <v>684022</v>
      </c>
      <c r="G55" s="32">
        <v>0</v>
      </c>
      <c r="H55" s="32">
        <v>970420</v>
      </c>
      <c r="I55" s="15" t="s">
        <v>157</v>
      </c>
    </row>
    <row r="56" spans="1:9" x14ac:dyDescent="0.2">
      <c r="A56" t="s">
        <v>31</v>
      </c>
      <c r="B56" t="s">
        <v>152</v>
      </c>
      <c r="C56" t="s">
        <v>156</v>
      </c>
      <c r="D56" s="32">
        <v>2208.9333333333434</v>
      </c>
      <c r="E56" s="32">
        <v>0</v>
      </c>
      <c r="F56" s="32">
        <v>1576917</v>
      </c>
      <c r="G56" s="32">
        <v>2618</v>
      </c>
      <c r="H56" s="32">
        <v>1539786</v>
      </c>
      <c r="I56" s="15" t="s">
        <v>157</v>
      </c>
    </row>
    <row r="57" spans="1:9" x14ac:dyDescent="0.2">
      <c r="A57" t="s">
        <v>33</v>
      </c>
      <c r="B57" t="s">
        <v>152</v>
      </c>
      <c r="C57" t="s">
        <v>156</v>
      </c>
      <c r="D57" s="32">
        <v>196.3333333333334</v>
      </c>
      <c r="E57" s="32">
        <v>0</v>
      </c>
      <c r="F57" s="32">
        <v>301589</v>
      </c>
      <c r="G57" s="32">
        <v>46916</v>
      </c>
      <c r="H57" s="32">
        <v>127300</v>
      </c>
      <c r="I57" s="15" t="s">
        <v>157</v>
      </c>
    </row>
    <row r="58" spans="1:9" x14ac:dyDescent="0.2">
      <c r="A58" t="s">
        <v>63</v>
      </c>
      <c r="B58" t="s">
        <v>152</v>
      </c>
      <c r="C58" t="s">
        <v>156</v>
      </c>
      <c r="D58" s="32">
        <v>64.766666666666666</v>
      </c>
      <c r="E58" s="32">
        <v>0</v>
      </c>
      <c r="F58" s="32">
        <v>0</v>
      </c>
      <c r="G58" s="32">
        <v>0</v>
      </c>
      <c r="H58" s="32">
        <v>33696</v>
      </c>
      <c r="I58" s="15" t="s">
        <v>157</v>
      </c>
    </row>
    <row r="59" spans="1:9" x14ac:dyDescent="0.2">
      <c r="A59" t="s">
        <v>32</v>
      </c>
      <c r="B59" t="s">
        <v>152</v>
      </c>
      <c r="C59" t="s">
        <v>156</v>
      </c>
      <c r="D59" s="32">
        <v>268.66666666666663</v>
      </c>
      <c r="E59" s="32">
        <v>1991</v>
      </c>
      <c r="F59" s="32">
        <v>171036</v>
      </c>
      <c r="G59" s="32">
        <v>0</v>
      </c>
      <c r="H59" s="32">
        <v>192392</v>
      </c>
      <c r="I59" s="15" t="s">
        <v>157</v>
      </c>
    </row>
    <row r="60" spans="1:9" x14ac:dyDescent="0.2">
      <c r="A60" t="s">
        <v>62</v>
      </c>
      <c r="B60" t="s">
        <v>152</v>
      </c>
      <c r="C60" t="s">
        <v>156</v>
      </c>
      <c r="D60" s="32">
        <v>748</v>
      </c>
      <c r="E60" s="32">
        <v>0</v>
      </c>
      <c r="F60" s="32">
        <v>333929</v>
      </c>
      <c r="G60" s="32">
        <v>78</v>
      </c>
      <c r="H60" s="32">
        <v>571094</v>
      </c>
      <c r="I60" s="15" t="s">
        <v>157</v>
      </c>
    </row>
    <row r="61" spans="1:9" x14ac:dyDescent="0.2">
      <c r="A61" t="s">
        <v>112</v>
      </c>
      <c r="B61" t="s">
        <v>152</v>
      </c>
      <c r="C61" t="s">
        <v>156</v>
      </c>
      <c r="D61" s="32">
        <v>186</v>
      </c>
      <c r="E61" s="32">
        <v>0</v>
      </c>
      <c r="F61" s="32">
        <v>134663</v>
      </c>
      <c r="G61" s="32">
        <v>0</v>
      </c>
      <c r="H61" s="32">
        <v>140864</v>
      </c>
      <c r="I61" s="15" t="s">
        <v>157</v>
      </c>
    </row>
    <row r="62" spans="1:9" x14ac:dyDescent="0.2">
      <c r="A62" t="s">
        <v>19</v>
      </c>
      <c r="B62" t="s">
        <v>152</v>
      </c>
      <c r="C62" t="s">
        <v>156</v>
      </c>
      <c r="D62" s="32">
        <v>748</v>
      </c>
      <c r="E62" s="32">
        <v>0</v>
      </c>
      <c r="F62" s="32">
        <v>437344</v>
      </c>
      <c r="G62" s="32">
        <v>115</v>
      </c>
      <c r="H62" s="32">
        <v>544808</v>
      </c>
      <c r="I62" s="15" t="s">
        <v>157</v>
      </c>
    </row>
    <row r="63" spans="1:9" x14ac:dyDescent="0.2">
      <c r="A63" t="s">
        <v>36</v>
      </c>
      <c r="B63" t="s">
        <v>152</v>
      </c>
      <c r="C63" t="s">
        <v>156</v>
      </c>
      <c r="D63" s="32">
        <v>244</v>
      </c>
      <c r="E63" s="32">
        <v>3873</v>
      </c>
      <c r="F63" s="32">
        <v>155367</v>
      </c>
      <c r="G63" s="32">
        <v>0</v>
      </c>
      <c r="H63" s="32">
        <v>151951</v>
      </c>
      <c r="I63" s="15" t="s">
        <v>157</v>
      </c>
    </row>
    <row r="64" spans="1:9" x14ac:dyDescent="0.2">
      <c r="A64" t="s">
        <v>51</v>
      </c>
      <c r="B64" t="s">
        <v>152</v>
      </c>
      <c r="C64" t="s">
        <v>156</v>
      </c>
      <c r="D64" s="32">
        <v>310</v>
      </c>
      <c r="E64" s="32">
        <v>1454</v>
      </c>
      <c r="F64" s="32">
        <v>128067</v>
      </c>
      <c r="G64" s="32">
        <v>0</v>
      </c>
      <c r="H64" s="32">
        <v>262942</v>
      </c>
      <c r="I64" s="15" t="s">
        <v>157</v>
      </c>
    </row>
    <row r="65" spans="1:9" x14ac:dyDescent="0.2">
      <c r="A65" t="s">
        <v>79</v>
      </c>
      <c r="B65" t="s">
        <v>152</v>
      </c>
      <c r="C65" t="s">
        <v>156</v>
      </c>
      <c r="D65" s="32">
        <v>674.5</v>
      </c>
      <c r="E65" s="32">
        <v>0</v>
      </c>
      <c r="F65" s="32">
        <v>273913</v>
      </c>
      <c r="G65" s="32">
        <v>58</v>
      </c>
      <c r="H65" s="32">
        <v>518703</v>
      </c>
      <c r="I65" s="15" t="s">
        <v>157</v>
      </c>
    </row>
    <row r="66" spans="1:9" x14ac:dyDescent="0.2">
      <c r="A66" t="s">
        <v>40</v>
      </c>
      <c r="B66" t="s">
        <v>152</v>
      </c>
      <c r="C66" t="s">
        <v>156</v>
      </c>
      <c r="D66" s="32">
        <v>40</v>
      </c>
      <c r="E66" s="32">
        <v>0</v>
      </c>
      <c r="F66" s="32">
        <v>280</v>
      </c>
      <c r="G66" s="32">
        <v>0</v>
      </c>
      <c r="H66" s="32">
        <v>29016</v>
      </c>
      <c r="I66" s="15" t="s">
        <v>157</v>
      </c>
    </row>
    <row r="67" spans="1:9" x14ac:dyDescent="0.2">
      <c r="A67" t="s">
        <v>89</v>
      </c>
      <c r="B67" t="s">
        <v>152</v>
      </c>
      <c r="C67" t="s">
        <v>156</v>
      </c>
      <c r="D67" s="32">
        <v>103</v>
      </c>
      <c r="E67" s="32">
        <v>0</v>
      </c>
      <c r="F67" s="32">
        <v>11666</v>
      </c>
      <c r="G67" s="32">
        <v>0</v>
      </c>
      <c r="H67" s="32">
        <v>42498</v>
      </c>
      <c r="I67" s="15" t="s">
        <v>157</v>
      </c>
    </row>
    <row r="68" spans="1:9" x14ac:dyDescent="0.2">
      <c r="A68" t="s">
        <v>67</v>
      </c>
      <c r="B68" t="s">
        <v>153</v>
      </c>
      <c r="C68" t="s">
        <v>156</v>
      </c>
      <c r="D68" s="32">
        <v>256.16666666666669</v>
      </c>
      <c r="E68" s="32">
        <v>0</v>
      </c>
      <c r="F68" s="32">
        <v>126976</v>
      </c>
      <c r="G68" s="32">
        <v>0</v>
      </c>
      <c r="H68" s="32">
        <v>222930</v>
      </c>
      <c r="I68" s="15" t="s">
        <v>157</v>
      </c>
    </row>
    <row r="69" spans="1:9" x14ac:dyDescent="0.2">
      <c r="A69" t="s">
        <v>39</v>
      </c>
      <c r="B69" t="s">
        <v>153</v>
      </c>
      <c r="C69" t="s">
        <v>156</v>
      </c>
      <c r="D69" s="32">
        <v>260</v>
      </c>
      <c r="E69" s="32">
        <v>0</v>
      </c>
      <c r="F69" s="32">
        <v>8100</v>
      </c>
      <c r="G69" s="32">
        <v>0</v>
      </c>
      <c r="H69" s="32">
        <v>206856</v>
      </c>
      <c r="I69" s="15" t="s">
        <v>157</v>
      </c>
    </row>
    <row r="70" spans="1:9" x14ac:dyDescent="0.2">
      <c r="A70" t="s">
        <v>65</v>
      </c>
      <c r="B70" t="s">
        <v>153</v>
      </c>
      <c r="C70" t="s">
        <v>156</v>
      </c>
      <c r="D70" s="32">
        <v>1269</v>
      </c>
      <c r="E70" s="32">
        <v>16967</v>
      </c>
      <c r="F70" s="32">
        <v>458145</v>
      </c>
      <c r="G70" s="32">
        <v>0</v>
      </c>
      <c r="H70" s="32">
        <v>1147598</v>
      </c>
      <c r="I70" s="15" t="s">
        <v>157</v>
      </c>
    </row>
    <row r="71" spans="1:9" x14ac:dyDescent="0.2">
      <c r="A71" t="s">
        <v>56</v>
      </c>
      <c r="B71" t="s">
        <v>153</v>
      </c>
      <c r="C71" t="s">
        <v>156</v>
      </c>
      <c r="D71" s="32">
        <v>85.733333333333334</v>
      </c>
      <c r="E71" s="32">
        <v>0</v>
      </c>
      <c r="F71" s="32">
        <v>25644</v>
      </c>
      <c r="G71" s="32">
        <v>0</v>
      </c>
      <c r="H71" s="32">
        <v>76064</v>
      </c>
      <c r="I71" s="15" t="s">
        <v>157</v>
      </c>
    </row>
    <row r="72" spans="1:9" x14ac:dyDescent="0.2">
      <c r="A72" t="s">
        <v>20</v>
      </c>
      <c r="B72" t="s">
        <v>153</v>
      </c>
      <c r="C72" t="s">
        <v>156</v>
      </c>
      <c r="D72" s="32">
        <v>700</v>
      </c>
      <c r="E72" s="32">
        <v>2</v>
      </c>
      <c r="F72" s="32">
        <v>310057</v>
      </c>
      <c r="G72" s="32">
        <v>0</v>
      </c>
      <c r="H72" s="32">
        <v>599870</v>
      </c>
      <c r="I72" s="15" t="s">
        <v>157</v>
      </c>
    </row>
    <row r="73" spans="1:9" x14ac:dyDescent="0.2">
      <c r="A73" t="s">
        <v>18</v>
      </c>
      <c r="B73" t="s">
        <v>153</v>
      </c>
      <c r="C73" t="s">
        <v>156</v>
      </c>
      <c r="D73" s="32">
        <v>548.33333333333348</v>
      </c>
      <c r="E73" s="32">
        <v>0</v>
      </c>
      <c r="F73" s="32">
        <v>0</v>
      </c>
      <c r="G73" s="32">
        <v>0</v>
      </c>
      <c r="H73" s="32">
        <v>446008</v>
      </c>
      <c r="I73" s="15" t="s">
        <v>157</v>
      </c>
    </row>
    <row r="74" spans="1:9" x14ac:dyDescent="0.2">
      <c r="A74" t="s">
        <v>95</v>
      </c>
      <c r="B74" t="s">
        <v>153</v>
      </c>
      <c r="C74" t="s">
        <v>156</v>
      </c>
      <c r="D74" s="32">
        <v>46.666666666666664</v>
      </c>
      <c r="E74" s="32">
        <v>0</v>
      </c>
      <c r="F74" s="32">
        <v>0</v>
      </c>
      <c r="G74" s="32">
        <v>0</v>
      </c>
      <c r="H74" s="32">
        <v>37728</v>
      </c>
      <c r="I74" s="15" t="s">
        <v>157</v>
      </c>
    </row>
    <row r="75" spans="1:9" x14ac:dyDescent="0.2">
      <c r="A75" t="s">
        <v>106</v>
      </c>
      <c r="B75" t="s">
        <v>153</v>
      </c>
      <c r="C75" t="s">
        <v>156</v>
      </c>
      <c r="D75" s="32">
        <v>120</v>
      </c>
      <c r="E75" s="32">
        <v>0</v>
      </c>
      <c r="F75" s="32">
        <v>4098</v>
      </c>
      <c r="G75" s="32">
        <v>0</v>
      </c>
      <c r="H75" s="32">
        <v>95472</v>
      </c>
      <c r="I75" s="15" t="s">
        <v>157</v>
      </c>
    </row>
    <row r="76" spans="1:9" x14ac:dyDescent="0.2">
      <c r="A76" t="s">
        <v>64</v>
      </c>
      <c r="B76" t="s">
        <v>153</v>
      </c>
      <c r="C76" t="s">
        <v>156</v>
      </c>
      <c r="D76" s="32">
        <v>1103</v>
      </c>
      <c r="E76" s="32">
        <v>11572</v>
      </c>
      <c r="F76" s="32">
        <v>553065</v>
      </c>
      <c r="G76" s="32">
        <v>9272</v>
      </c>
      <c r="H76" s="32">
        <v>951195</v>
      </c>
      <c r="I76" s="15" t="s">
        <v>157</v>
      </c>
    </row>
    <row r="77" spans="1:9" x14ac:dyDescent="0.2">
      <c r="A77" t="s">
        <v>35</v>
      </c>
      <c r="B77" t="s">
        <v>153</v>
      </c>
      <c r="C77" t="s">
        <v>156</v>
      </c>
      <c r="D77" s="32">
        <v>680</v>
      </c>
      <c r="E77" s="32">
        <v>36444</v>
      </c>
      <c r="F77" s="32">
        <v>345286</v>
      </c>
      <c r="G77" s="32">
        <v>0</v>
      </c>
      <c r="H77" s="32">
        <v>621894</v>
      </c>
      <c r="I77" s="15" t="s">
        <v>157</v>
      </c>
    </row>
    <row r="78" spans="1:9" x14ac:dyDescent="0.2">
      <c r="A78" t="s">
        <v>66</v>
      </c>
      <c r="B78" t="s">
        <v>153</v>
      </c>
      <c r="C78" t="s">
        <v>156</v>
      </c>
      <c r="D78" s="32">
        <v>1040</v>
      </c>
      <c r="E78" s="32">
        <v>20940</v>
      </c>
      <c r="F78" s="32">
        <v>571108</v>
      </c>
      <c r="G78" s="32">
        <v>0</v>
      </c>
      <c r="H78" s="32">
        <v>633078</v>
      </c>
      <c r="I78" s="15" t="s">
        <v>157</v>
      </c>
    </row>
    <row r="79" spans="1:9" x14ac:dyDescent="0.2">
      <c r="A79" t="s">
        <v>99</v>
      </c>
      <c r="B79" t="s">
        <v>153</v>
      </c>
      <c r="C79" t="s">
        <v>156</v>
      </c>
      <c r="D79" s="32">
        <v>387.5</v>
      </c>
      <c r="E79" s="32">
        <v>0</v>
      </c>
      <c r="F79" s="32">
        <v>0</v>
      </c>
      <c r="G79" s="32">
        <v>0</v>
      </c>
      <c r="H79" s="32">
        <v>295833</v>
      </c>
      <c r="I79" s="15" t="s">
        <v>157</v>
      </c>
    </row>
    <row r="80" spans="1:9" x14ac:dyDescent="0.2">
      <c r="A80" t="s">
        <v>48</v>
      </c>
      <c r="B80" t="s">
        <v>153</v>
      </c>
      <c r="C80" t="s">
        <v>156</v>
      </c>
      <c r="D80" s="32">
        <v>331.38333333333333</v>
      </c>
      <c r="E80" s="32">
        <v>0</v>
      </c>
      <c r="F80" s="32">
        <v>135780</v>
      </c>
      <c r="G80" s="32">
        <v>0</v>
      </c>
      <c r="H80" s="32">
        <v>284727</v>
      </c>
      <c r="I80" s="15" t="s">
        <v>157</v>
      </c>
    </row>
    <row r="81" spans="1:9" x14ac:dyDescent="0.2">
      <c r="A81" t="s">
        <v>26</v>
      </c>
      <c r="B81" t="s">
        <v>153</v>
      </c>
      <c r="C81" t="s">
        <v>156</v>
      </c>
      <c r="D81" s="32">
        <v>80</v>
      </c>
      <c r="E81" s="32">
        <v>0</v>
      </c>
      <c r="F81" s="32">
        <v>3892</v>
      </c>
      <c r="G81" s="32">
        <v>0</v>
      </c>
      <c r="H81" s="32">
        <v>63648</v>
      </c>
      <c r="I81" s="15" t="s">
        <v>157</v>
      </c>
    </row>
    <row r="82" spans="1:9" x14ac:dyDescent="0.2">
      <c r="A82" t="s">
        <v>44</v>
      </c>
      <c r="B82" t="s">
        <v>153</v>
      </c>
      <c r="C82" t="s">
        <v>156</v>
      </c>
      <c r="D82" s="32">
        <v>315</v>
      </c>
      <c r="E82" s="32">
        <v>0</v>
      </c>
      <c r="F82" s="32">
        <v>148006</v>
      </c>
      <c r="G82" s="32">
        <v>0</v>
      </c>
      <c r="H82" s="32">
        <v>251224</v>
      </c>
      <c r="I82" s="15" t="s">
        <v>157</v>
      </c>
    </row>
    <row r="83" spans="1:9" x14ac:dyDescent="0.2">
      <c r="A83" t="s">
        <v>70</v>
      </c>
      <c r="B83" t="s">
        <v>153</v>
      </c>
      <c r="C83" t="s">
        <v>156</v>
      </c>
      <c r="D83" s="32">
        <v>232.65000000000006</v>
      </c>
      <c r="E83" s="32">
        <v>0</v>
      </c>
      <c r="F83" s="32">
        <v>89640</v>
      </c>
      <c r="G83" s="32">
        <v>0</v>
      </c>
      <c r="H83" s="32">
        <v>180414</v>
      </c>
      <c r="I83" s="15" t="s">
        <v>157</v>
      </c>
    </row>
    <row r="84" spans="1:9" x14ac:dyDescent="0.2">
      <c r="A84" t="s">
        <v>22</v>
      </c>
      <c r="B84" t="s">
        <v>153</v>
      </c>
      <c r="C84" t="s">
        <v>156</v>
      </c>
      <c r="D84" s="32">
        <v>193.64999999999998</v>
      </c>
      <c r="E84" s="32">
        <v>0</v>
      </c>
      <c r="F84" s="32">
        <v>59920</v>
      </c>
      <c r="G84" s="32">
        <v>0</v>
      </c>
      <c r="H84" s="32">
        <v>149535</v>
      </c>
      <c r="I84" s="15" t="s">
        <v>157</v>
      </c>
    </row>
    <row r="85" spans="1:9" x14ac:dyDescent="0.2">
      <c r="A85" t="s">
        <v>21</v>
      </c>
      <c r="B85" t="s">
        <v>153</v>
      </c>
      <c r="C85" t="s">
        <v>156</v>
      </c>
      <c r="D85" s="32">
        <v>279.2833333333333</v>
      </c>
      <c r="E85" s="32">
        <v>0</v>
      </c>
      <c r="F85" s="32">
        <v>78640</v>
      </c>
      <c r="G85" s="32">
        <v>0</v>
      </c>
      <c r="H85" s="32">
        <v>215176</v>
      </c>
      <c r="I85" s="15" t="s">
        <v>157</v>
      </c>
    </row>
    <row r="86" spans="1:9" x14ac:dyDescent="0.2">
      <c r="A86" t="s">
        <v>81</v>
      </c>
      <c r="B86" t="s">
        <v>153</v>
      </c>
      <c r="C86" t="s">
        <v>156</v>
      </c>
      <c r="D86" s="32">
        <v>171</v>
      </c>
      <c r="E86" s="32">
        <v>0</v>
      </c>
      <c r="F86" s="32">
        <v>117830</v>
      </c>
      <c r="G86" s="32">
        <v>0</v>
      </c>
      <c r="H86" s="32">
        <v>143730</v>
      </c>
      <c r="I86" s="15" t="s">
        <v>157</v>
      </c>
    </row>
    <row r="87" spans="1:9" x14ac:dyDescent="0.2">
      <c r="A87" t="s">
        <v>41</v>
      </c>
      <c r="B87" t="s">
        <v>153</v>
      </c>
      <c r="C87" t="s">
        <v>156</v>
      </c>
      <c r="D87" s="32">
        <v>326.5333333333333</v>
      </c>
      <c r="E87" s="32">
        <v>0</v>
      </c>
      <c r="F87" s="32">
        <v>158221</v>
      </c>
      <c r="G87" s="32">
        <v>0</v>
      </c>
      <c r="H87" s="32">
        <v>265856</v>
      </c>
      <c r="I87" s="15" t="s">
        <v>157</v>
      </c>
    </row>
    <row r="88" spans="1:9" x14ac:dyDescent="0.2">
      <c r="A88" t="s">
        <v>148</v>
      </c>
      <c r="B88" t="s">
        <v>154</v>
      </c>
      <c r="C88" t="s">
        <v>156</v>
      </c>
      <c r="D88" s="32">
        <v>3744.9833333333349</v>
      </c>
      <c r="E88" s="32">
        <v>0</v>
      </c>
      <c r="F88" s="32">
        <v>0</v>
      </c>
      <c r="G88" s="32">
        <v>0</v>
      </c>
      <c r="H88" s="32">
        <v>684024</v>
      </c>
      <c r="I88" s="15" t="s">
        <v>157</v>
      </c>
    </row>
    <row r="89" spans="1:9" x14ac:dyDescent="0.2">
      <c r="A89" t="s">
        <v>111</v>
      </c>
      <c r="B89" t="s">
        <v>154</v>
      </c>
      <c r="C89" t="s">
        <v>156</v>
      </c>
      <c r="D89" s="32">
        <v>313.73333333333329</v>
      </c>
      <c r="E89" s="32">
        <v>0</v>
      </c>
      <c r="F89" s="32">
        <v>0</v>
      </c>
      <c r="G89" s="32">
        <v>0</v>
      </c>
      <c r="H89" s="32">
        <v>246233</v>
      </c>
      <c r="I89" s="15" t="s">
        <v>157</v>
      </c>
    </row>
    <row r="90" spans="1:9" x14ac:dyDescent="0.2">
      <c r="A90" t="s">
        <v>110</v>
      </c>
      <c r="B90" t="s">
        <v>154</v>
      </c>
      <c r="C90" t="s">
        <v>156</v>
      </c>
      <c r="D90" s="32">
        <v>262.66666666666663</v>
      </c>
      <c r="E90" s="32">
        <v>0</v>
      </c>
      <c r="F90" s="32">
        <v>0</v>
      </c>
      <c r="G90" s="32">
        <v>0</v>
      </c>
      <c r="H90" s="32">
        <v>226176</v>
      </c>
      <c r="I90" s="15" t="s">
        <v>157</v>
      </c>
    </row>
    <row r="91" spans="1:9" x14ac:dyDescent="0.2">
      <c r="A91" t="s">
        <v>108</v>
      </c>
      <c r="B91" t="s">
        <v>149</v>
      </c>
      <c r="C91" t="s">
        <v>155</v>
      </c>
      <c r="D91" s="32">
        <v>183.15</v>
      </c>
      <c r="E91" s="32">
        <v>133</v>
      </c>
      <c r="F91" s="32">
        <v>45605</v>
      </c>
      <c r="G91" s="32">
        <v>449</v>
      </c>
      <c r="H91" s="32">
        <v>75122</v>
      </c>
      <c r="I91" s="15" t="s">
        <v>166</v>
      </c>
    </row>
    <row r="92" spans="1:9" x14ac:dyDescent="0.2">
      <c r="A92" t="s">
        <v>4</v>
      </c>
      <c r="B92" t="s">
        <v>149</v>
      </c>
      <c r="C92" t="s">
        <v>155</v>
      </c>
      <c r="D92" s="32">
        <v>2667.0833333333339</v>
      </c>
      <c r="E92" s="32">
        <v>0</v>
      </c>
      <c r="F92" s="32">
        <v>298217</v>
      </c>
      <c r="G92" s="32">
        <v>0</v>
      </c>
      <c r="H92" s="32">
        <v>937997</v>
      </c>
      <c r="I92" s="15" t="s">
        <v>166</v>
      </c>
    </row>
    <row r="93" spans="1:9" x14ac:dyDescent="0.2">
      <c r="A93" t="s">
        <v>2</v>
      </c>
      <c r="B93" t="s">
        <v>149</v>
      </c>
      <c r="C93" t="s">
        <v>155</v>
      </c>
      <c r="D93" s="32">
        <v>8056.9499999999944</v>
      </c>
      <c r="E93" s="32">
        <v>5023</v>
      </c>
      <c r="F93" s="32">
        <v>3550511</v>
      </c>
      <c r="G93" s="32">
        <v>0</v>
      </c>
      <c r="H93" s="32">
        <v>3995475</v>
      </c>
      <c r="I93" s="15" t="s">
        <v>166</v>
      </c>
    </row>
    <row r="94" spans="1:9" x14ac:dyDescent="0.2">
      <c r="A94" t="s">
        <v>1</v>
      </c>
      <c r="B94" t="s">
        <v>149</v>
      </c>
      <c r="C94" t="s">
        <v>155</v>
      </c>
      <c r="D94" s="32">
        <v>14394.866666666658</v>
      </c>
      <c r="E94" s="32">
        <v>98.131800000000013</v>
      </c>
      <c r="F94" s="32">
        <v>4642042.5829999996</v>
      </c>
      <c r="G94" s="32">
        <v>0</v>
      </c>
      <c r="H94" s="32">
        <v>6273211</v>
      </c>
      <c r="I94" s="15" t="s">
        <v>166</v>
      </c>
    </row>
    <row r="95" spans="1:9" x14ac:dyDescent="0.2">
      <c r="A95" t="s">
        <v>57</v>
      </c>
      <c r="B95" t="s">
        <v>149</v>
      </c>
      <c r="C95" t="s">
        <v>155</v>
      </c>
      <c r="D95" s="32">
        <v>67.999999999999986</v>
      </c>
      <c r="E95" s="32">
        <v>0</v>
      </c>
      <c r="F95" s="32">
        <v>0</v>
      </c>
      <c r="G95" s="32">
        <v>0</v>
      </c>
      <c r="H95" s="32">
        <v>26469</v>
      </c>
      <c r="I95" s="15" t="s">
        <v>166</v>
      </c>
    </row>
    <row r="96" spans="1:9" x14ac:dyDescent="0.2">
      <c r="A96" t="s">
        <v>28</v>
      </c>
      <c r="B96" t="s">
        <v>149</v>
      </c>
      <c r="C96" t="s">
        <v>155</v>
      </c>
      <c r="D96" s="32">
        <v>570.65000000000009</v>
      </c>
      <c r="E96" s="32">
        <v>0</v>
      </c>
      <c r="F96" s="32">
        <v>0</v>
      </c>
      <c r="G96" s="32">
        <v>0</v>
      </c>
      <c r="H96" s="32">
        <v>262601</v>
      </c>
      <c r="I96" s="15" t="s">
        <v>166</v>
      </c>
    </row>
    <row r="97" spans="1:9" x14ac:dyDescent="0.2">
      <c r="A97" t="s">
        <v>3</v>
      </c>
      <c r="B97" t="s">
        <v>149</v>
      </c>
      <c r="C97" t="s">
        <v>155</v>
      </c>
      <c r="D97" s="32">
        <v>8252.0166666666682</v>
      </c>
      <c r="E97" s="32">
        <v>0</v>
      </c>
      <c r="F97" s="32">
        <v>4780476.9999999944</v>
      </c>
      <c r="G97" s="32">
        <v>0</v>
      </c>
      <c r="H97" s="32">
        <v>5343188</v>
      </c>
      <c r="I97" s="15" t="s">
        <v>166</v>
      </c>
    </row>
    <row r="98" spans="1:9" x14ac:dyDescent="0.2">
      <c r="A98" t="s">
        <v>6</v>
      </c>
      <c r="B98" t="s">
        <v>149</v>
      </c>
      <c r="C98" t="s">
        <v>155</v>
      </c>
      <c r="D98" s="32">
        <v>934.66666666666629</v>
      </c>
      <c r="E98" s="32">
        <v>0</v>
      </c>
      <c r="F98" s="32">
        <v>0</v>
      </c>
      <c r="G98" s="32">
        <v>0</v>
      </c>
      <c r="H98" s="32">
        <v>580900</v>
      </c>
      <c r="I98" s="15" t="s">
        <v>166</v>
      </c>
    </row>
    <row r="99" spans="1:9" x14ac:dyDescent="0.2">
      <c r="A99" t="s">
        <v>29</v>
      </c>
      <c r="B99" t="s">
        <v>149</v>
      </c>
      <c r="C99" t="s">
        <v>155</v>
      </c>
      <c r="D99" s="32">
        <v>30.75</v>
      </c>
      <c r="E99" s="32">
        <v>0</v>
      </c>
      <c r="F99" s="32">
        <v>0</v>
      </c>
      <c r="G99" s="32">
        <v>0</v>
      </c>
      <c r="H99" s="32">
        <v>11934</v>
      </c>
      <c r="I99" s="15" t="s">
        <v>166</v>
      </c>
    </row>
    <row r="100" spans="1:9" x14ac:dyDescent="0.2">
      <c r="A100" t="s">
        <v>103</v>
      </c>
      <c r="B100" t="s">
        <v>149</v>
      </c>
      <c r="C100" t="s">
        <v>155</v>
      </c>
      <c r="D100" s="32">
        <v>558.03333333333319</v>
      </c>
      <c r="E100" s="32">
        <v>0</v>
      </c>
      <c r="F100" s="32">
        <v>130180</v>
      </c>
      <c r="G100" s="32">
        <v>0</v>
      </c>
      <c r="H100" s="32">
        <v>229471</v>
      </c>
      <c r="I100" s="15" t="s">
        <v>166</v>
      </c>
    </row>
    <row r="101" spans="1:9" x14ac:dyDescent="0.2">
      <c r="A101" t="s">
        <v>5</v>
      </c>
      <c r="B101" t="s">
        <v>149</v>
      </c>
      <c r="C101" t="s">
        <v>155</v>
      </c>
      <c r="D101" s="32">
        <v>937.50000000000114</v>
      </c>
      <c r="E101" s="32">
        <v>0</v>
      </c>
      <c r="F101" s="32">
        <v>1866937</v>
      </c>
      <c r="G101" s="32">
        <v>0</v>
      </c>
      <c r="H101" s="32">
        <v>1969609</v>
      </c>
      <c r="I101" s="15" t="s">
        <v>166</v>
      </c>
    </row>
    <row r="102" spans="1:9" x14ac:dyDescent="0.2">
      <c r="A102" t="s">
        <v>50</v>
      </c>
      <c r="B102" t="s">
        <v>149</v>
      </c>
      <c r="C102" t="s">
        <v>155</v>
      </c>
      <c r="D102" s="32">
        <v>8703.1333333333205</v>
      </c>
      <c r="E102" s="32">
        <v>0</v>
      </c>
      <c r="F102" s="32">
        <v>0</v>
      </c>
      <c r="G102" s="32">
        <v>0</v>
      </c>
      <c r="H102" s="32">
        <v>6148023</v>
      </c>
      <c r="I102" s="15" t="s">
        <v>166</v>
      </c>
    </row>
    <row r="103" spans="1:9" x14ac:dyDescent="0.2">
      <c r="A103" t="s">
        <v>4</v>
      </c>
      <c r="B103" t="s">
        <v>149</v>
      </c>
      <c r="C103" t="s">
        <v>156</v>
      </c>
      <c r="D103" s="32">
        <v>53.333333333333336</v>
      </c>
      <c r="E103" s="32">
        <v>0</v>
      </c>
      <c r="F103" s="32">
        <v>7428</v>
      </c>
      <c r="G103" s="32">
        <v>0</v>
      </c>
      <c r="H103" s="32">
        <v>24032</v>
      </c>
      <c r="I103" s="15" t="s">
        <v>166</v>
      </c>
    </row>
    <row r="104" spans="1:9" x14ac:dyDescent="0.2">
      <c r="A104" t="s">
        <v>2</v>
      </c>
      <c r="B104" t="s">
        <v>149</v>
      </c>
      <c r="C104" t="s">
        <v>156</v>
      </c>
      <c r="D104" s="32">
        <v>13939.466666666669</v>
      </c>
      <c r="E104" s="32">
        <v>27528</v>
      </c>
      <c r="F104" s="32">
        <v>5350979</v>
      </c>
      <c r="G104" s="32">
        <v>0</v>
      </c>
      <c r="H104" s="32">
        <v>9530811</v>
      </c>
      <c r="I104" s="15" t="s">
        <v>166</v>
      </c>
    </row>
    <row r="105" spans="1:9" x14ac:dyDescent="0.2">
      <c r="A105" t="s">
        <v>1</v>
      </c>
      <c r="B105" t="s">
        <v>149</v>
      </c>
      <c r="C105" t="s">
        <v>156</v>
      </c>
      <c r="D105" s="32">
        <v>2422.6166666666668</v>
      </c>
      <c r="E105" s="32">
        <v>0</v>
      </c>
      <c r="F105" s="32">
        <v>784722.86440000008</v>
      </c>
      <c r="G105" s="32">
        <v>0</v>
      </c>
      <c r="H105" s="32">
        <v>1276566</v>
      </c>
      <c r="I105" s="15" t="s">
        <v>166</v>
      </c>
    </row>
    <row r="106" spans="1:9" x14ac:dyDescent="0.2">
      <c r="A106" t="s">
        <v>57</v>
      </c>
      <c r="B106" t="s">
        <v>149</v>
      </c>
      <c r="C106" t="s">
        <v>156</v>
      </c>
      <c r="D106" s="32">
        <v>444.33333333333337</v>
      </c>
      <c r="E106" s="32">
        <v>0</v>
      </c>
      <c r="F106" s="32">
        <v>0</v>
      </c>
      <c r="G106" s="32">
        <v>0</v>
      </c>
      <c r="H106" s="32">
        <v>314564</v>
      </c>
      <c r="I106" s="15" t="s">
        <v>166</v>
      </c>
    </row>
    <row r="107" spans="1:9" x14ac:dyDescent="0.2">
      <c r="A107" t="s">
        <v>28</v>
      </c>
      <c r="B107" t="s">
        <v>149</v>
      </c>
      <c r="C107" t="s">
        <v>156</v>
      </c>
      <c r="D107" s="32">
        <v>66.666666666666657</v>
      </c>
      <c r="E107" s="32">
        <v>0</v>
      </c>
      <c r="F107" s="32">
        <v>0</v>
      </c>
      <c r="G107" s="32">
        <v>0</v>
      </c>
      <c r="H107" s="32">
        <v>34442</v>
      </c>
      <c r="I107" s="15" t="s">
        <v>166</v>
      </c>
    </row>
    <row r="108" spans="1:9" x14ac:dyDescent="0.2">
      <c r="A108" t="s">
        <v>3</v>
      </c>
      <c r="B108" t="s">
        <v>149</v>
      </c>
      <c r="C108" t="s">
        <v>156</v>
      </c>
      <c r="D108" s="32">
        <v>2022.2333333333331</v>
      </c>
      <c r="E108" s="32">
        <v>0</v>
      </c>
      <c r="F108" s="32">
        <v>603692.2000000003</v>
      </c>
      <c r="G108" s="32">
        <v>0</v>
      </c>
      <c r="H108" s="32">
        <v>1516131</v>
      </c>
      <c r="I108" s="15" t="s">
        <v>166</v>
      </c>
    </row>
    <row r="109" spans="1:9" x14ac:dyDescent="0.2">
      <c r="A109" t="s">
        <v>29</v>
      </c>
      <c r="B109" t="s">
        <v>149</v>
      </c>
      <c r="C109" t="s">
        <v>156</v>
      </c>
      <c r="D109" s="32">
        <v>377.9</v>
      </c>
      <c r="E109" s="32">
        <v>0</v>
      </c>
      <c r="F109" s="32">
        <v>0</v>
      </c>
      <c r="G109" s="32">
        <v>0</v>
      </c>
      <c r="H109" s="32">
        <v>264946</v>
      </c>
      <c r="I109" s="15" t="s">
        <v>166</v>
      </c>
    </row>
    <row r="110" spans="1:9" x14ac:dyDescent="0.2">
      <c r="A110" t="s">
        <v>5</v>
      </c>
      <c r="B110" t="s">
        <v>149</v>
      </c>
      <c r="C110" t="s">
        <v>156</v>
      </c>
      <c r="D110" s="32">
        <v>125.60000000000001</v>
      </c>
      <c r="E110" s="32">
        <v>0</v>
      </c>
      <c r="F110" s="32">
        <v>87925</v>
      </c>
      <c r="G110" s="32">
        <v>0</v>
      </c>
      <c r="H110" s="32">
        <v>113094</v>
      </c>
      <c r="I110" s="15" t="s">
        <v>166</v>
      </c>
    </row>
    <row r="111" spans="1:9" x14ac:dyDescent="0.2">
      <c r="A111" t="s">
        <v>50</v>
      </c>
      <c r="B111" t="s">
        <v>149</v>
      </c>
      <c r="C111" t="s">
        <v>156</v>
      </c>
      <c r="D111" s="32">
        <v>3311.7999999999965</v>
      </c>
      <c r="E111" s="32">
        <v>0</v>
      </c>
      <c r="F111" s="32">
        <v>0</v>
      </c>
      <c r="G111" s="32">
        <v>0</v>
      </c>
      <c r="H111" s="32">
        <v>2466721</v>
      </c>
      <c r="I111" s="15" t="s">
        <v>166</v>
      </c>
    </row>
    <row r="112" spans="1:9" x14ac:dyDescent="0.2">
      <c r="A112" t="s">
        <v>61</v>
      </c>
      <c r="B112" t="s">
        <v>150</v>
      </c>
      <c r="C112" t="s">
        <v>156</v>
      </c>
      <c r="D112" s="32">
        <v>119.25</v>
      </c>
      <c r="E112" s="32">
        <v>0</v>
      </c>
      <c r="F112" s="32">
        <v>0</v>
      </c>
      <c r="G112" s="32">
        <v>0</v>
      </c>
      <c r="H112" s="32">
        <v>179853</v>
      </c>
      <c r="I112" s="15" t="s">
        <v>166</v>
      </c>
    </row>
    <row r="113" spans="1:9" x14ac:dyDescent="0.2">
      <c r="A113" t="s">
        <v>10</v>
      </c>
      <c r="B113" t="s">
        <v>150</v>
      </c>
      <c r="C113" t="s">
        <v>156</v>
      </c>
      <c r="D113" s="32">
        <v>5071.9500000000089</v>
      </c>
      <c r="E113" s="32">
        <v>7412</v>
      </c>
      <c r="F113" s="32">
        <v>26662564</v>
      </c>
      <c r="G113" s="32">
        <v>0</v>
      </c>
      <c r="H113" s="32">
        <v>2137521</v>
      </c>
      <c r="I113" s="15" t="s">
        <v>166</v>
      </c>
    </row>
    <row r="114" spans="1:9" x14ac:dyDescent="0.2">
      <c r="A114" t="s">
        <v>8</v>
      </c>
      <c r="B114" t="s">
        <v>150</v>
      </c>
      <c r="C114" t="s">
        <v>156</v>
      </c>
      <c r="D114" s="32">
        <v>6901.7499999999045</v>
      </c>
      <c r="E114" s="32">
        <v>60267</v>
      </c>
      <c r="F114" s="32">
        <v>3443307</v>
      </c>
      <c r="G114" s="32">
        <v>0</v>
      </c>
      <c r="H114" s="32">
        <v>4111054</v>
      </c>
      <c r="I114" s="15" t="s">
        <v>166</v>
      </c>
    </row>
    <row r="115" spans="1:9" x14ac:dyDescent="0.2">
      <c r="A115" t="s">
        <v>17</v>
      </c>
      <c r="B115" t="s">
        <v>150</v>
      </c>
      <c r="C115" t="s">
        <v>156</v>
      </c>
      <c r="D115" s="32">
        <v>118.99999999999997</v>
      </c>
      <c r="E115" s="32">
        <v>0</v>
      </c>
      <c r="F115" s="32">
        <v>0</v>
      </c>
      <c r="G115" s="32">
        <v>0</v>
      </c>
      <c r="H115" s="32">
        <v>84056</v>
      </c>
      <c r="I115" s="15" t="s">
        <v>166</v>
      </c>
    </row>
    <row r="116" spans="1:9" x14ac:dyDescent="0.2">
      <c r="A116" t="s">
        <v>52</v>
      </c>
      <c r="B116" t="s">
        <v>150</v>
      </c>
      <c r="C116" t="s">
        <v>156</v>
      </c>
      <c r="D116" s="32">
        <v>112</v>
      </c>
      <c r="E116" s="32">
        <v>0</v>
      </c>
      <c r="F116" s="32">
        <v>0</v>
      </c>
      <c r="G116" s="32">
        <v>0</v>
      </c>
      <c r="H116" s="32">
        <v>68944</v>
      </c>
      <c r="I116" s="15" t="s">
        <v>166</v>
      </c>
    </row>
    <row r="117" spans="1:9" x14ac:dyDescent="0.2">
      <c r="A117" t="s">
        <v>7</v>
      </c>
      <c r="B117" t="s">
        <v>150</v>
      </c>
      <c r="C117" t="s">
        <v>156</v>
      </c>
      <c r="D117" s="32">
        <v>3366.5166666666632</v>
      </c>
      <c r="E117" s="32">
        <v>0</v>
      </c>
      <c r="F117" s="32">
        <v>0</v>
      </c>
      <c r="G117" s="32">
        <v>0</v>
      </c>
      <c r="H117" s="32">
        <v>2170125</v>
      </c>
      <c r="I117" s="15" t="s">
        <v>166</v>
      </c>
    </row>
    <row r="118" spans="1:9" x14ac:dyDescent="0.2">
      <c r="A118" t="s">
        <v>9</v>
      </c>
      <c r="B118" t="s">
        <v>150</v>
      </c>
      <c r="C118" t="s">
        <v>156</v>
      </c>
      <c r="D118" s="32">
        <v>7858.533333333331</v>
      </c>
      <c r="E118" s="32">
        <v>25109</v>
      </c>
      <c r="F118" s="32">
        <v>4206145</v>
      </c>
      <c r="G118" s="32">
        <v>0</v>
      </c>
      <c r="H118" s="32">
        <v>5095776</v>
      </c>
      <c r="I118" s="15" t="s">
        <v>166</v>
      </c>
    </row>
    <row r="119" spans="1:9" x14ac:dyDescent="0.2">
      <c r="A119" t="s">
        <v>169</v>
      </c>
      <c r="B119" t="s">
        <v>150</v>
      </c>
      <c r="C119" t="s">
        <v>156</v>
      </c>
      <c r="D119" s="32">
        <v>1713.5000000000055</v>
      </c>
      <c r="E119" s="32">
        <v>0</v>
      </c>
      <c r="F119" s="32">
        <v>375909</v>
      </c>
      <c r="G119" s="32">
        <v>0</v>
      </c>
      <c r="H119" s="32">
        <v>930626</v>
      </c>
      <c r="I119" s="15" t="s">
        <v>166</v>
      </c>
    </row>
    <row r="120" spans="1:9" x14ac:dyDescent="0.2">
      <c r="A120" t="s">
        <v>14</v>
      </c>
      <c r="B120" t="s">
        <v>150</v>
      </c>
      <c r="C120" t="s">
        <v>156</v>
      </c>
      <c r="D120" s="32">
        <v>330</v>
      </c>
      <c r="E120" s="32">
        <v>0</v>
      </c>
      <c r="F120" s="32">
        <v>0</v>
      </c>
      <c r="G120" s="32">
        <v>0</v>
      </c>
      <c r="H120" s="32">
        <v>258435</v>
      </c>
      <c r="I120" s="15" t="s">
        <v>166</v>
      </c>
    </row>
    <row r="121" spans="1:9" x14ac:dyDescent="0.2">
      <c r="A121" t="s">
        <v>13</v>
      </c>
      <c r="B121" t="s">
        <v>150</v>
      </c>
      <c r="C121" t="s">
        <v>156</v>
      </c>
      <c r="D121" s="32">
        <v>1615.6333333333307</v>
      </c>
      <c r="E121" s="32">
        <v>0</v>
      </c>
      <c r="F121" s="32">
        <v>1354760</v>
      </c>
      <c r="G121" s="32">
        <v>0</v>
      </c>
      <c r="H121" s="32">
        <v>1178385</v>
      </c>
      <c r="I121" s="15" t="s">
        <v>166</v>
      </c>
    </row>
    <row r="122" spans="1:9" x14ac:dyDescent="0.2">
      <c r="A122" t="s">
        <v>60</v>
      </c>
      <c r="B122" t="s">
        <v>150</v>
      </c>
      <c r="C122" t="s">
        <v>156</v>
      </c>
      <c r="D122" s="32">
        <v>118.33333333333336</v>
      </c>
      <c r="E122" s="32">
        <v>0</v>
      </c>
      <c r="F122" s="32">
        <v>62505</v>
      </c>
      <c r="G122" s="32">
        <v>0</v>
      </c>
      <c r="H122" s="32">
        <v>55550</v>
      </c>
      <c r="I122" s="15" t="s">
        <v>166</v>
      </c>
    </row>
    <row r="123" spans="1:9" x14ac:dyDescent="0.2">
      <c r="A123" t="s">
        <v>58</v>
      </c>
      <c r="B123" t="s">
        <v>150</v>
      </c>
      <c r="C123" t="s">
        <v>156</v>
      </c>
      <c r="D123" s="32">
        <v>816.42999999999972</v>
      </c>
      <c r="E123" s="32">
        <v>0</v>
      </c>
      <c r="F123" s="32">
        <v>393749</v>
      </c>
      <c r="G123" s="32">
        <v>0</v>
      </c>
      <c r="H123" s="32">
        <v>579396</v>
      </c>
      <c r="I123" s="15" t="s">
        <v>166</v>
      </c>
    </row>
    <row r="124" spans="1:9" x14ac:dyDescent="0.2">
      <c r="A124" t="s">
        <v>59</v>
      </c>
      <c r="B124" t="s">
        <v>150</v>
      </c>
      <c r="C124" t="s">
        <v>156</v>
      </c>
      <c r="D124" s="32">
        <v>46.650000000000013</v>
      </c>
      <c r="E124" s="32">
        <v>0</v>
      </c>
      <c r="F124" s="32">
        <v>13673</v>
      </c>
      <c r="G124" s="32">
        <v>0</v>
      </c>
      <c r="H124" s="32">
        <v>28738</v>
      </c>
      <c r="I124" s="15" t="s">
        <v>166</v>
      </c>
    </row>
    <row r="125" spans="1:9" x14ac:dyDescent="0.2">
      <c r="A125" t="s">
        <v>38</v>
      </c>
      <c r="B125" t="s">
        <v>150</v>
      </c>
      <c r="C125" t="s">
        <v>156</v>
      </c>
      <c r="D125" s="32">
        <v>1544.4999999999993</v>
      </c>
      <c r="E125" s="32">
        <v>0</v>
      </c>
      <c r="F125" s="32">
        <v>736494</v>
      </c>
      <c r="G125" s="32">
        <v>0</v>
      </c>
      <c r="H125" s="32">
        <v>1079344</v>
      </c>
      <c r="I125" s="15" t="s">
        <v>166</v>
      </c>
    </row>
    <row r="126" spans="1:9" x14ac:dyDescent="0.2">
      <c r="A126" t="s">
        <v>88</v>
      </c>
      <c r="B126" t="s">
        <v>150</v>
      </c>
      <c r="C126" t="s">
        <v>156</v>
      </c>
      <c r="D126" s="32">
        <v>1804.5166666666657</v>
      </c>
      <c r="E126" s="32">
        <v>0</v>
      </c>
      <c r="F126" s="32">
        <v>0</v>
      </c>
      <c r="G126" s="32">
        <v>0</v>
      </c>
      <c r="H126" s="32">
        <v>1250691</v>
      </c>
      <c r="I126" s="15" t="s">
        <v>166</v>
      </c>
    </row>
    <row r="127" spans="1:9" x14ac:dyDescent="0.2">
      <c r="A127" t="s">
        <v>109</v>
      </c>
      <c r="B127" t="s">
        <v>150</v>
      </c>
      <c r="C127" t="s">
        <v>156</v>
      </c>
      <c r="D127" s="32">
        <v>1765.2666666666698</v>
      </c>
      <c r="E127" s="32">
        <v>0</v>
      </c>
      <c r="F127" s="32">
        <v>982290</v>
      </c>
      <c r="G127" s="32">
        <v>0</v>
      </c>
      <c r="H127" s="32">
        <v>1125196</v>
      </c>
      <c r="I127" s="15" t="s">
        <v>166</v>
      </c>
    </row>
    <row r="128" spans="1:9" x14ac:dyDescent="0.2">
      <c r="A128" t="s">
        <v>16</v>
      </c>
      <c r="B128" t="s">
        <v>150</v>
      </c>
      <c r="C128" t="s">
        <v>156</v>
      </c>
      <c r="D128" s="32">
        <v>539.4</v>
      </c>
      <c r="E128" s="32">
        <v>0</v>
      </c>
      <c r="F128" s="32">
        <v>234379</v>
      </c>
      <c r="G128" s="32">
        <v>0</v>
      </c>
      <c r="H128" s="32">
        <v>329272</v>
      </c>
      <c r="I128" s="15" t="s">
        <v>166</v>
      </c>
    </row>
    <row r="129" spans="1:9" x14ac:dyDescent="0.2">
      <c r="A129" t="s">
        <v>90</v>
      </c>
      <c r="B129" t="s">
        <v>150</v>
      </c>
      <c r="C129" t="s">
        <v>156</v>
      </c>
      <c r="D129" s="32">
        <v>6266.3999999999805</v>
      </c>
      <c r="E129" s="32">
        <v>837</v>
      </c>
      <c r="F129" s="32">
        <v>3130030</v>
      </c>
      <c r="G129" s="32">
        <v>0</v>
      </c>
      <c r="H129" s="32">
        <v>4623180</v>
      </c>
      <c r="I129" s="15" t="s">
        <v>166</v>
      </c>
    </row>
    <row r="130" spans="1:9" x14ac:dyDescent="0.2">
      <c r="A130" t="s">
        <v>15</v>
      </c>
      <c r="B130" t="s">
        <v>150</v>
      </c>
      <c r="C130" t="s">
        <v>156</v>
      </c>
      <c r="D130" s="32">
        <v>306</v>
      </c>
      <c r="E130" s="32">
        <v>0</v>
      </c>
      <c r="F130" s="32">
        <v>0</v>
      </c>
      <c r="G130" s="32">
        <v>0</v>
      </c>
      <c r="H130" s="32">
        <v>198613</v>
      </c>
      <c r="I130" s="15" t="s">
        <v>166</v>
      </c>
    </row>
    <row r="131" spans="1:9" x14ac:dyDescent="0.2">
      <c r="A131" t="s">
        <v>30</v>
      </c>
      <c r="B131" t="s">
        <v>150</v>
      </c>
      <c r="C131" t="s">
        <v>156</v>
      </c>
      <c r="D131" s="32">
        <v>3047.1000000000004</v>
      </c>
      <c r="E131" s="32">
        <v>0</v>
      </c>
      <c r="F131" s="32">
        <v>1449586</v>
      </c>
      <c r="G131" s="32">
        <v>0</v>
      </c>
      <c r="H131" s="32">
        <v>1859083</v>
      </c>
      <c r="I131" s="15" t="s">
        <v>166</v>
      </c>
    </row>
    <row r="132" spans="1:9" x14ac:dyDescent="0.2">
      <c r="A132" t="s">
        <v>73</v>
      </c>
      <c r="B132" t="s">
        <v>150</v>
      </c>
      <c r="C132" t="s">
        <v>156</v>
      </c>
      <c r="D132" s="32">
        <v>312.51666666666648</v>
      </c>
      <c r="E132" s="32">
        <v>0</v>
      </c>
      <c r="F132" s="32">
        <v>185800</v>
      </c>
      <c r="G132" s="32">
        <v>0</v>
      </c>
      <c r="H132" s="32">
        <v>229321</v>
      </c>
      <c r="I132" s="15" t="s">
        <v>166</v>
      </c>
    </row>
    <row r="133" spans="1:9" x14ac:dyDescent="0.2">
      <c r="A133" t="s">
        <v>12</v>
      </c>
      <c r="B133" t="s">
        <v>151</v>
      </c>
      <c r="C133" t="s">
        <v>156</v>
      </c>
      <c r="D133" s="32">
        <v>2531.7499999999936</v>
      </c>
      <c r="E133" s="32">
        <v>47716</v>
      </c>
      <c r="F133" s="32">
        <v>1320557</v>
      </c>
      <c r="G133" s="32">
        <v>0</v>
      </c>
      <c r="H133" s="32">
        <v>1777707</v>
      </c>
      <c r="I133" s="15" t="s">
        <v>166</v>
      </c>
    </row>
    <row r="134" spans="1:9" x14ac:dyDescent="0.2">
      <c r="A134" t="s">
        <v>68</v>
      </c>
      <c r="B134" t="s">
        <v>151</v>
      </c>
      <c r="C134" t="s">
        <v>156</v>
      </c>
      <c r="D134" s="32">
        <v>1083.6499999999985</v>
      </c>
      <c r="E134" s="32">
        <v>0</v>
      </c>
      <c r="F134" s="32">
        <v>1259016</v>
      </c>
      <c r="G134" s="32">
        <v>0</v>
      </c>
      <c r="H134" s="32">
        <v>936005</v>
      </c>
      <c r="I134" s="15" t="s">
        <v>166</v>
      </c>
    </row>
    <row r="135" spans="1:9" x14ac:dyDescent="0.2">
      <c r="A135" t="s">
        <v>69</v>
      </c>
      <c r="B135" t="s">
        <v>151</v>
      </c>
      <c r="C135" t="s">
        <v>156</v>
      </c>
      <c r="D135" s="32">
        <v>2675.0000000000027</v>
      </c>
      <c r="E135" s="32">
        <v>0</v>
      </c>
      <c r="F135" s="32">
        <v>1799448</v>
      </c>
      <c r="G135" s="32">
        <v>0</v>
      </c>
      <c r="H135" s="32">
        <v>2297847</v>
      </c>
      <c r="I135" s="15" t="s">
        <v>166</v>
      </c>
    </row>
    <row r="136" spans="1:9" x14ac:dyDescent="0.2">
      <c r="A136" t="s">
        <v>37</v>
      </c>
      <c r="B136" t="s">
        <v>151</v>
      </c>
      <c r="C136" t="s">
        <v>156</v>
      </c>
      <c r="D136" s="32">
        <v>3695.4666666666853</v>
      </c>
      <c r="E136" s="32">
        <v>0</v>
      </c>
      <c r="F136" s="32">
        <v>2089675</v>
      </c>
      <c r="G136" s="32">
        <v>0</v>
      </c>
      <c r="H136" s="32">
        <v>3204526</v>
      </c>
      <c r="I136" s="15" t="s">
        <v>166</v>
      </c>
    </row>
    <row r="137" spans="1:9" x14ac:dyDescent="0.2">
      <c r="A137" t="s">
        <v>147</v>
      </c>
      <c r="B137" t="s">
        <v>152</v>
      </c>
      <c r="C137" t="s">
        <v>156</v>
      </c>
      <c r="D137" s="32">
        <v>282.00000000000006</v>
      </c>
      <c r="E137" s="32">
        <v>0</v>
      </c>
      <c r="F137" s="32">
        <v>110018</v>
      </c>
      <c r="G137" s="32">
        <v>0</v>
      </c>
      <c r="H137" s="32">
        <v>219280</v>
      </c>
      <c r="I137" s="15" t="s">
        <v>166</v>
      </c>
    </row>
    <row r="138" spans="1:9" x14ac:dyDescent="0.2">
      <c r="A138" t="s">
        <v>76</v>
      </c>
      <c r="B138" t="s">
        <v>152</v>
      </c>
      <c r="C138" t="s">
        <v>156</v>
      </c>
      <c r="D138" s="32">
        <v>409.33333333333377</v>
      </c>
      <c r="E138" s="32">
        <v>0</v>
      </c>
      <c r="F138" s="32">
        <v>132797</v>
      </c>
      <c r="G138" s="32">
        <v>161</v>
      </c>
      <c r="H138" s="32">
        <v>325800</v>
      </c>
      <c r="I138" s="15" t="s">
        <v>166</v>
      </c>
    </row>
    <row r="139" spans="1:9" x14ac:dyDescent="0.2">
      <c r="A139" t="s">
        <v>34</v>
      </c>
      <c r="B139" t="s">
        <v>152</v>
      </c>
      <c r="C139" t="s">
        <v>156</v>
      </c>
      <c r="D139" s="32">
        <v>1076.4166666666674</v>
      </c>
      <c r="E139" s="32">
        <v>1070</v>
      </c>
      <c r="F139" s="32">
        <v>481263</v>
      </c>
      <c r="G139" s="32">
        <v>0</v>
      </c>
      <c r="H139" s="32">
        <v>860173</v>
      </c>
      <c r="I139" s="15" t="s">
        <v>166</v>
      </c>
    </row>
    <row r="140" spans="1:9" x14ac:dyDescent="0.2">
      <c r="A140" t="s">
        <v>31</v>
      </c>
      <c r="B140" t="s">
        <v>152</v>
      </c>
      <c r="C140" t="s">
        <v>156</v>
      </c>
      <c r="D140" s="32">
        <v>2152.7333333333449</v>
      </c>
      <c r="E140" s="32">
        <v>0</v>
      </c>
      <c r="F140" s="32">
        <v>1301116</v>
      </c>
      <c r="G140" s="32">
        <v>3080</v>
      </c>
      <c r="H140" s="32">
        <v>1409900</v>
      </c>
      <c r="I140" s="15" t="s">
        <v>166</v>
      </c>
    </row>
    <row r="141" spans="1:9" x14ac:dyDescent="0.2">
      <c r="A141" t="s">
        <v>33</v>
      </c>
      <c r="B141" t="s">
        <v>152</v>
      </c>
      <c r="C141" t="s">
        <v>156</v>
      </c>
      <c r="D141" s="32">
        <v>182.33333333333331</v>
      </c>
      <c r="E141" s="32">
        <v>55</v>
      </c>
      <c r="F141" s="32">
        <v>284465</v>
      </c>
      <c r="G141" s="32">
        <v>60936</v>
      </c>
      <c r="H141" s="32">
        <v>118172</v>
      </c>
      <c r="I141" s="15" t="s">
        <v>166</v>
      </c>
    </row>
    <row r="142" spans="1:9" x14ac:dyDescent="0.2">
      <c r="A142" t="s">
        <v>63</v>
      </c>
      <c r="B142" t="s">
        <v>152</v>
      </c>
      <c r="C142" t="s">
        <v>156</v>
      </c>
      <c r="D142" s="32">
        <v>60.533333333333331</v>
      </c>
      <c r="E142" s="32">
        <v>0</v>
      </c>
      <c r="F142" s="32">
        <v>0</v>
      </c>
      <c r="G142" s="32">
        <v>0</v>
      </c>
      <c r="H142" s="32">
        <v>31590</v>
      </c>
      <c r="I142" s="15" t="s">
        <v>166</v>
      </c>
    </row>
    <row r="143" spans="1:9" x14ac:dyDescent="0.2">
      <c r="A143" t="s">
        <v>32</v>
      </c>
      <c r="B143" t="s">
        <v>152</v>
      </c>
      <c r="C143" t="s">
        <v>156</v>
      </c>
      <c r="D143" s="32">
        <v>114.08333333333334</v>
      </c>
      <c r="E143" s="32">
        <v>33</v>
      </c>
      <c r="F143" s="32">
        <v>87977</v>
      </c>
      <c r="G143" s="32">
        <v>0</v>
      </c>
      <c r="H143" s="32">
        <v>72187</v>
      </c>
      <c r="I143" s="15" t="s">
        <v>166</v>
      </c>
    </row>
    <row r="144" spans="1:9" x14ac:dyDescent="0.2">
      <c r="A144" t="s">
        <v>62</v>
      </c>
      <c r="B144" t="s">
        <v>152</v>
      </c>
      <c r="C144" t="s">
        <v>156</v>
      </c>
      <c r="D144" s="32">
        <v>671.5</v>
      </c>
      <c r="E144" s="32">
        <v>282</v>
      </c>
      <c r="F144" s="32">
        <v>300067</v>
      </c>
      <c r="G144" s="32">
        <v>78</v>
      </c>
      <c r="H144" s="32">
        <v>512803</v>
      </c>
      <c r="I144" s="15" t="s">
        <v>166</v>
      </c>
    </row>
    <row r="145" spans="1:9" x14ac:dyDescent="0.2">
      <c r="A145" t="s">
        <v>112</v>
      </c>
      <c r="B145" t="s">
        <v>152</v>
      </c>
      <c r="C145" t="s">
        <v>156</v>
      </c>
      <c r="D145" s="32">
        <v>168</v>
      </c>
      <c r="E145" s="32">
        <v>0</v>
      </c>
      <c r="F145" s="32">
        <v>105502</v>
      </c>
      <c r="G145" s="32">
        <v>0</v>
      </c>
      <c r="H145" s="32">
        <v>127232</v>
      </c>
      <c r="I145" s="15" t="s">
        <v>166</v>
      </c>
    </row>
    <row r="146" spans="1:9" x14ac:dyDescent="0.2">
      <c r="A146" t="s">
        <v>19</v>
      </c>
      <c r="B146" t="s">
        <v>152</v>
      </c>
      <c r="C146" t="s">
        <v>156</v>
      </c>
      <c r="D146" s="32">
        <v>792</v>
      </c>
      <c r="E146" s="32">
        <v>0</v>
      </c>
      <c r="F146" s="32">
        <v>455020</v>
      </c>
      <c r="G146" s="32">
        <v>75</v>
      </c>
      <c r="H146" s="32">
        <v>572688</v>
      </c>
      <c r="I146" s="15" t="s">
        <v>166</v>
      </c>
    </row>
    <row r="147" spans="1:9" x14ac:dyDescent="0.2">
      <c r="A147" t="s">
        <v>36</v>
      </c>
      <c r="B147" t="s">
        <v>152</v>
      </c>
      <c r="C147" t="s">
        <v>156</v>
      </c>
      <c r="D147" s="32">
        <v>223</v>
      </c>
      <c r="E147" s="32">
        <v>6623</v>
      </c>
      <c r="F147" s="32">
        <v>120341</v>
      </c>
      <c r="G147" s="32">
        <v>0</v>
      </c>
      <c r="H147" s="32">
        <v>139496</v>
      </c>
      <c r="I147" s="15" t="s">
        <v>166</v>
      </c>
    </row>
    <row r="148" spans="1:9" x14ac:dyDescent="0.2">
      <c r="A148" t="s">
        <v>51</v>
      </c>
      <c r="B148" t="s">
        <v>152</v>
      </c>
      <c r="C148" t="s">
        <v>156</v>
      </c>
      <c r="D148" s="32">
        <v>277</v>
      </c>
      <c r="E148" s="32">
        <v>1449</v>
      </c>
      <c r="F148" s="32">
        <v>107977</v>
      </c>
      <c r="G148" s="32">
        <v>0</v>
      </c>
      <c r="H148" s="32">
        <v>237496</v>
      </c>
      <c r="I148" s="15" t="s">
        <v>166</v>
      </c>
    </row>
    <row r="149" spans="1:9" x14ac:dyDescent="0.2">
      <c r="A149" t="s">
        <v>79</v>
      </c>
      <c r="B149" t="s">
        <v>152</v>
      </c>
      <c r="C149" t="s">
        <v>156</v>
      </c>
      <c r="D149" s="32">
        <v>608</v>
      </c>
      <c r="E149" s="32">
        <v>0</v>
      </c>
      <c r="F149" s="32">
        <v>228619</v>
      </c>
      <c r="G149" s="32">
        <v>48</v>
      </c>
      <c r="H149" s="32">
        <v>468408</v>
      </c>
      <c r="I149" s="15" t="s">
        <v>166</v>
      </c>
    </row>
    <row r="150" spans="1:9" x14ac:dyDescent="0.2">
      <c r="A150" t="s">
        <v>40</v>
      </c>
      <c r="B150" t="s">
        <v>152</v>
      </c>
      <c r="C150" t="s">
        <v>156</v>
      </c>
      <c r="D150" s="32">
        <v>40</v>
      </c>
      <c r="E150" s="32">
        <v>0</v>
      </c>
      <c r="F150" s="32">
        <v>336</v>
      </c>
      <c r="G150" s="32">
        <v>0</v>
      </c>
      <c r="H150" s="32">
        <v>29016</v>
      </c>
      <c r="I150" s="15" t="s">
        <v>166</v>
      </c>
    </row>
    <row r="151" spans="1:9" x14ac:dyDescent="0.2">
      <c r="A151" t="s">
        <v>89</v>
      </c>
      <c r="B151" t="s">
        <v>152</v>
      </c>
      <c r="C151" t="s">
        <v>156</v>
      </c>
      <c r="D151" s="32">
        <v>71</v>
      </c>
      <c r="E151" s="32">
        <v>0</v>
      </c>
      <c r="F151" s="32">
        <v>10168</v>
      </c>
      <c r="G151" s="32">
        <v>0</v>
      </c>
      <c r="H151" s="32">
        <v>29536</v>
      </c>
      <c r="I151" s="15" t="s">
        <v>166</v>
      </c>
    </row>
    <row r="152" spans="1:9" x14ac:dyDescent="0.2">
      <c r="A152" t="s">
        <v>67</v>
      </c>
      <c r="B152" t="s">
        <v>153</v>
      </c>
      <c r="C152" t="s">
        <v>156</v>
      </c>
      <c r="D152" s="32">
        <v>236.66666666666663</v>
      </c>
      <c r="E152" s="32">
        <v>0</v>
      </c>
      <c r="F152" s="32">
        <v>117572</v>
      </c>
      <c r="G152" s="32">
        <v>0</v>
      </c>
      <c r="H152" s="32">
        <v>206056</v>
      </c>
      <c r="I152" s="15" t="s">
        <v>166</v>
      </c>
    </row>
    <row r="153" spans="1:9" x14ac:dyDescent="0.2">
      <c r="A153" t="s">
        <v>39</v>
      </c>
      <c r="B153" t="s">
        <v>153</v>
      </c>
      <c r="C153" t="s">
        <v>156</v>
      </c>
      <c r="D153" s="32">
        <v>241.35</v>
      </c>
      <c r="E153" s="32">
        <v>0</v>
      </c>
      <c r="F153" s="32">
        <v>7783</v>
      </c>
      <c r="G153" s="32">
        <v>0</v>
      </c>
      <c r="H153" s="32">
        <v>190944</v>
      </c>
      <c r="I153" s="15" t="s">
        <v>166</v>
      </c>
    </row>
    <row r="154" spans="1:9" x14ac:dyDescent="0.2">
      <c r="A154" t="s">
        <v>65</v>
      </c>
      <c r="B154" t="s">
        <v>153</v>
      </c>
      <c r="C154" t="s">
        <v>156</v>
      </c>
      <c r="D154" s="32">
        <v>944</v>
      </c>
      <c r="E154" s="32">
        <v>11226</v>
      </c>
      <c r="F154" s="32">
        <v>332217</v>
      </c>
      <c r="G154" s="32">
        <v>0</v>
      </c>
      <c r="H154" s="32">
        <v>856528</v>
      </c>
      <c r="I154" s="15" t="s">
        <v>166</v>
      </c>
    </row>
    <row r="155" spans="1:9" x14ac:dyDescent="0.2">
      <c r="A155" t="s">
        <v>56</v>
      </c>
      <c r="B155" t="s">
        <v>153</v>
      </c>
      <c r="C155" t="s">
        <v>156</v>
      </c>
      <c r="D155" s="32">
        <v>22.06666666666667</v>
      </c>
      <c r="E155" s="32">
        <v>0</v>
      </c>
      <c r="F155" s="32">
        <v>5259</v>
      </c>
      <c r="G155" s="32">
        <v>0</v>
      </c>
      <c r="H155" s="32">
        <v>19016</v>
      </c>
      <c r="I155" s="15" t="s">
        <v>166</v>
      </c>
    </row>
    <row r="156" spans="1:9" x14ac:dyDescent="0.2">
      <c r="A156" t="s">
        <v>20</v>
      </c>
      <c r="B156" t="s">
        <v>153</v>
      </c>
      <c r="C156" t="s">
        <v>156</v>
      </c>
      <c r="D156" s="32">
        <v>640</v>
      </c>
      <c r="E156" s="32">
        <v>0</v>
      </c>
      <c r="F156" s="32">
        <v>247969</v>
      </c>
      <c r="G156" s="32">
        <v>0</v>
      </c>
      <c r="H156" s="32">
        <v>548240</v>
      </c>
      <c r="I156" s="15" t="s">
        <v>166</v>
      </c>
    </row>
    <row r="157" spans="1:9" x14ac:dyDescent="0.2">
      <c r="A157" t="s">
        <v>18</v>
      </c>
      <c r="B157" t="s">
        <v>153</v>
      </c>
      <c r="C157" t="s">
        <v>156</v>
      </c>
      <c r="D157" s="32">
        <v>560.00000000000011</v>
      </c>
      <c r="E157" s="32">
        <v>0</v>
      </c>
      <c r="F157" s="32">
        <v>0</v>
      </c>
      <c r="G157" s="32">
        <v>0</v>
      </c>
      <c r="H157" s="32">
        <v>455440</v>
      </c>
      <c r="I157" s="15" t="s">
        <v>166</v>
      </c>
    </row>
    <row r="158" spans="1:9" x14ac:dyDescent="0.2">
      <c r="A158" t="s">
        <v>106</v>
      </c>
      <c r="B158" t="s">
        <v>153</v>
      </c>
      <c r="C158" t="s">
        <v>156</v>
      </c>
      <c r="D158" s="32">
        <v>140.68333333333334</v>
      </c>
      <c r="E158" s="32">
        <v>0</v>
      </c>
      <c r="F158" s="32">
        <v>3715</v>
      </c>
      <c r="G158" s="32">
        <v>0</v>
      </c>
      <c r="H158" s="32">
        <v>111384</v>
      </c>
      <c r="I158" s="15" t="s">
        <v>166</v>
      </c>
    </row>
    <row r="159" spans="1:9" x14ac:dyDescent="0.2">
      <c r="A159" t="s">
        <v>64</v>
      </c>
      <c r="B159" t="s">
        <v>153</v>
      </c>
      <c r="C159" t="s">
        <v>156</v>
      </c>
      <c r="D159" s="32">
        <v>1008</v>
      </c>
      <c r="E159" s="32">
        <v>10099</v>
      </c>
      <c r="F159" s="32">
        <v>422192</v>
      </c>
      <c r="G159" s="32">
        <v>5658</v>
      </c>
      <c r="H159" s="32">
        <v>869664</v>
      </c>
      <c r="I159" s="15" t="s">
        <v>166</v>
      </c>
    </row>
    <row r="160" spans="1:9" x14ac:dyDescent="0.2">
      <c r="A160" t="s">
        <v>35</v>
      </c>
      <c r="B160" t="s">
        <v>153</v>
      </c>
      <c r="C160" t="s">
        <v>156</v>
      </c>
      <c r="D160" s="32">
        <v>560</v>
      </c>
      <c r="E160" s="32">
        <v>32210</v>
      </c>
      <c r="F160" s="32">
        <v>264403</v>
      </c>
      <c r="G160" s="32">
        <v>0</v>
      </c>
      <c r="H160" s="32">
        <v>512148</v>
      </c>
      <c r="I160" s="15" t="s">
        <v>166</v>
      </c>
    </row>
    <row r="161" spans="1:9" x14ac:dyDescent="0.2">
      <c r="A161" t="s">
        <v>66</v>
      </c>
      <c r="B161" t="s">
        <v>153</v>
      </c>
      <c r="C161" t="s">
        <v>156</v>
      </c>
      <c r="D161" s="32">
        <v>880</v>
      </c>
      <c r="E161" s="32">
        <v>14107</v>
      </c>
      <c r="F161" s="32">
        <v>454969</v>
      </c>
      <c r="G161" s="32">
        <v>0</v>
      </c>
      <c r="H161" s="32">
        <v>565960</v>
      </c>
      <c r="I161" s="15" t="s">
        <v>166</v>
      </c>
    </row>
    <row r="162" spans="1:9" x14ac:dyDescent="0.2">
      <c r="A162" t="s">
        <v>99</v>
      </c>
      <c r="B162" t="s">
        <v>153</v>
      </c>
      <c r="C162" t="s">
        <v>156</v>
      </c>
      <c r="D162" s="32">
        <v>387.5</v>
      </c>
      <c r="E162" s="32">
        <v>0</v>
      </c>
      <c r="F162" s="32">
        <v>0</v>
      </c>
      <c r="G162" s="32">
        <v>0</v>
      </c>
      <c r="H162" s="32">
        <v>295833</v>
      </c>
      <c r="I162" s="15" t="s">
        <v>166</v>
      </c>
    </row>
    <row r="163" spans="1:9" x14ac:dyDescent="0.2">
      <c r="A163" t="s">
        <v>48</v>
      </c>
      <c r="B163" t="s">
        <v>153</v>
      </c>
      <c r="C163" t="s">
        <v>156</v>
      </c>
      <c r="D163" s="32">
        <v>275.4666666666667</v>
      </c>
      <c r="E163" s="32">
        <v>0</v>
      </c>
      <c r="F163" s="32">
        <v>111600</v>
      </c>
      <c r="G163" s="32">
        <v>0</v>
      </c>
      <c r="H163" s="32">
        <v>213604</v>
      </c>
      <c r="I163" s="15" t="s">
        <v>166</v>
      </c>
    </row>
    <row r="164" spans="1:9" x14ac:dyDescent="0.2">
      <c r="A164" t="s">
        <v>26</v>
      </c>
      <c r="B164" t="s">
        <v>153</v>
      </c>
      <c r="C164" t="s">
        <v>156</v>
      </c>
      <c r="D164" s="32">
        <v>80.55</v>
      </c>
      <c r="E164" s="32">
        <v>0</v>
      </c>
      <c r="F164" s="32">
        <v>3895</v>
      </c>
      <c r="G164" s="32">
        <v>0</v>
      </c>
      <c r="H164" s="32">
        <v>63648</v>
      </c>
      <c r="I164" s="15" t="s">
        <v>166</v>
      </c>
    </row>
    <row r="165" spans="1:9" x14ac:dyDescent="0.2">
      <c r="A165" t="s">
        <v>44</v>
      </c>
      <c r="B165" t="s">
        <v>153</v>
      </c>
      <c r="C165" t="s">
        <v>156</v>
      </c>
      <c r="D165" s="32">
        <v>284.16666666666669</v>
      </c>
      <c r="E165" s="32">
        <v>0</v>
      </c>
      <c r="F165" s="32">
        <v>124041</v>
      </c>
      <c r="G165" s="32">
        <v>0</v>
      </c>
      <c r="H165" s="32">
        <v>220716</v>
      </c>
      <c r="I165" s="15" t="s">
        <v>166</v>
      </c>
    </row>
    <row r="166" spans="1:9" x14ac:dyDescent="0.2">
      <c r="A166" t="s">
        <v>70</v>
      </c>
      <c r="B166" t="s">
        <v>153</v>
      </c>
      <c r="C166" t="s">
        <v>156</v>
      </c>
      <c r="D166" s="32">
        <v>206.8</v>
      </c>
      <c r="E166" s="32">
        <v>0</v>
      </c>
      <c r="F166" s="32">
        <v>37340</v>
      </c>
      <c r="G166" s="32">
        <v>0</v>
      </c>
      <c r="H166" s="32">
        <v>160368</v>
      </c>
      <c r="I166" s="15" t="s">
        <v>166</v>
      </c>
    </row>
    <row r="167" spans="1:9" x14ac:dyDescent="0.2">
      <c r="A167" t="s">
        <v>22</v>
      </c>
      <c r="B167" t="s">
        <v>153</v>
      </c>
      <c r="C167" t="s">
        <v>156</v>
      </c>
      <c r="D167" s="32">
        <v>172.13333333333333</v>
      </c>
      <c r="E167" s="32">
        <v>0</v>
      </c>
      <c r="F167" s="32">
        <v>50380</v>
      </c>
      <c r="G167" s="32">
        <v>0</v>
      </c>
      <c r="H167" s="32">
        <v>132920</v>
      </c>
      <c r="I167" s="15" t="s">
        <v>166</v>
      </c>
    </row>
    <row r="168" spans="1:9" x14ac:dyDescent="0.2">
      <c r="A168" t="s">
        <v>21</v>
      </c>
      <c r="B168" t="s">
        <v>153</v>
      </c>
      <c r="C168" t="s">
        <v>156</v>
      </c>
      <c r="D168" s="32">
        <v>257.8</v>
      </c>
      <c r="E168" s="32">
        <v>0</v>
      </c>
      <c r="F168" s="32">
        <v>70040</v>
      </c>
      <c r="G168" s="32">
        <v>0</v>
      </c>
      <c r="H168" s="32">
        <v>198624</v>
      </c>
      <c r="I168" s="15" t="s">
        <v>166</v>
      </c>
    </row>
    <row r="169" spans="1:9" x14ac:dyDescent="0.2">
      <c r="A169" t="s">
        <v>81</v>
      </c>
      <c r="B169" t="s">
        <v>153</v>
      </c>
      <c r="C169" t="s">
        <v>156</v>
      </c>
      <c r="D169" s="32">
        <v>152</v>
      </c>
      <c r="E169" s="32">
        <v>0</v>
      </c>
      <c r="F169" s="32">
        <v>106020</v>
      </c>
      <c r="G169" s="32">
        <v>0</v>
      </c>
      <c r="H169" s="32">
        <v>127760</v>
      </c>
      <c r="I169" s="15" t="s">
        <v>166</v>
      </c>
    </row>
    <row r="170" spans="1:9" x14ac:dyDescent="0.2">
      <c r="A170" t="s">
        <v>41</v>
      </c>
      <c r="B170" t="s">
        <v>153</v>
      </c>
      <c r="C170" t="s">
        <v>156</v>
      </c>
      <c r="D170" s="32">
        <v>286.39999999999998</v>
      </c>
      <c r="E170" s="32">
        <v>0</v>
      </c>
      <c r="F170" s="32">
        <v>151113</v>
      </c>
      <c r="G170" s="32">
        <v>0</v>
      </c>
      <c r="H170" s="32">
        <v>232932</v>
      </c>
      <c r="I170" s="15" t="s">
        <v>166</v>
      </c>
    </row>
    <row r="171" spans="1:9" x14ac:dyDescent="0.2">
      <c r="A171" t="s">
        <v>148</v>
      </c>
      <c r="B171" t="s">
        <v>154</v>
      </c>
      <c r="C171" t="s">
        <v>156</v>
      </c>
      <c r="D171" s="32">
        <v>2379.6499999999992</v>
      </c>
      <c r="E171" s="32">
        <v>0</v>
      </c>
      <c r="F171" s="32">
        <v>0</v>
      </c>
      <c r="G171" s="32">
        <v>0</v>
      </c>
      <c r="H171" s="32">
        <v>460868</v>
      </c>
      <c r="I171" s="15" t="s">
        <v>166</v>
      </c>
    </row>
    <row r="172" spans="1:9" x14ac:dyDescent="0.2">
      <c r="A172" t="s">
        <v>111</v>
      </c>
      <c r="B172" t="s">
        <v>154</v>
      </c>
      <c r="C172" t="s">
        <v>156</v>
      </c>
      <c r="D172" s="32">
        <v>362.19999999999993</v>
      </c>
      <c r="E172" s="32">
        <v>0</v>
      </c>
      <c r="F172" s="32">
        <v>0</v>
      </c>
      <c r="G172" s="32">
        <v>0</v>
      </c>
      <c r="H172" s="32">
        <v>284516</v>
      </c>
      <c r="I172" s="15" t="s">
        <v>166</v>
      </c>
    </row>
    <row r="173" spans="1:9" x14ac:dyDescent="0.2">
      <c r="A173" t="s">
        <v>110</v>
      </c>
      <c r="B173" t="s">
        <v>154</v>
      </c>
      <c r="C173" t="s">
        <v>156</v>
      </c>
      <c r="D173" s="32">
        <v>262.66666666666663</v>
      </c>
      <c r="E173" s="32">
        <v>0</v>
      </c>
      <c r="F173" s="32">
        <v>0</v>
      </c>
      <c r="G173" s="32">
        <v>0</v>
      </c>
      <c r="H173" s="32">
        <v>226176</v>
      </c>
      <c r="I173" s="15" t="s">
        <v>166</v>
      </c>
    </row>
    <row r="174" spans="1:9" x14ac:dyDescent="0.2">
      <c r="A174" t="s">
        <v>108</v>
      </c>
      <c r="B174" t="s">
        <v>149</v>
      </c>
      <c r="C174" s="15" t="s">
        <v>155</v>
      </c>
      <c r="D174" s="32">
        <v>212.75</v>
      </c>
      <c r="E174" s="32">
        <v>211</v>
      </c>
      <c r="F174" s="32">
        <v>55060</v>
      </c>
      <c r="G174" s="32">
        <v>598</v>
      </c>
      <c r="H174" s="32">
        <v>85739</v>
      </c>
      <c r="I174" s="15" t="s">
        <v>173</v>
      </c>
    </row>
    <row r="175" spans="1:9" x14ac:dyDescent="0.2">
      <c r="A175" t="s">
        <v>4</v>
      </c>
      <c r="B175" t="s">
        <v>149</v>
      </c>
      <c r="C175" s="15" t="s">
        <v>155</v>
      </c>
      <c r="D175" s="32">
        <v>2959.4999999999991</v>
      </c>
      <c r="E175" s="32">
        <v>0</v>
      </c>
      <c r="F175" s="32">
        <v>350456</v>
      </c>
      <c r="G175" s="32">
        <v>0</v>
      </c>
      <c r="H175" s="32">
        <v>1063609</v>
      </c>
      <c r="I175" s="15" t="s">
        <v>173</v>
      </c>
    </row>
    <row r="176" spans="1:9" x14ac:dyDescent="0.2">
      <c r="A176" t="s">
        <v>2</v>
      </c>
      <c r="B176" t="s">
        <v>149</v>
      </c>
      <c r="C176" s="15" t="s">
        <v>155</v>
      </c>
      <c r="D176" s="32">
        <v>8790.0999999999949</v>
      </c>
      <c r="E176" s="32">
        <v>2115</v>
      </c>
      <c r="F176" s="32">
        <v>4021265</v>
      </c>
      <c r="G176" s="32">
        <v>0</v>
      </c>
      <c r="H176" s="32">
        <v>4295843</v>
      </c>
      <c r="I176" s="15" t="s">
        <v>173</v>
      </c>
    </row>
    <row r="177" spans="1:9" x14ac:dyDescent="0.2">
      <c r="A177" t="s">
        <v>1</v>
      </c>
      <c r="B177" t="s">
        <v>149</v>
      </c>
      <c r="C177" s="15" t="s">
        <v>155</v>
      </c>
      <c r="D177" s="32">
        <v>16428.383333333331</v>
      </c>
      <c r="E177" s="32">
        <v>81.399900000000031</v>
      </c>
      <c r="F177" s="32">
        <v>5195966.6907999935</v>
      </c>
      <c r="G177" s="32">
        <v>0</v>
      </c>
      <c r="H177" s="32">
        <v>7083504</v>
      </c>
      <c r="I177" s="15" t="s">
        <v>173</v>
      </c>
    </row>
    <row r="178" spans="1:9" x14ac:dyDescent="0.2">
      <c r="A178" t="s">
        <v>57</v>
      </c>
      <c r="B178" t="s">
        <v>149</v>
      </c>
      <c r="C178" s="15" t="s">
        <v>155</v>
      </c>
      <c r="D178" s="32">
        <v>81.833333333333329</v>
      </c>
      <c r="E178" s="32">
        <v>0</v>
      </c>
      <c r="F178" s="32">
        <v>0</v>
      </c>
      <c r="G178" s="32">
        <v>0</v>
      </c>
      <c r="H178" s="32">
        <v>31671</v>
      </c>
      <c r="I178" s="15" t="s">
        <v>173</v>
      </c>
    </row>
    <row r="179" spans="1:9" x14ac:dyDescent="0.2">
      <c r="A179" t="s">
        <v>28</v>
      </c>
      <c r="B179" t="s">
        <v>149</v>
      </c>
      <c r="C179" s="15" t="s">
        <v>155</v>
      </c>
      <c r="D179" s="32">
        <v>636.50000000000011</v>
      </c>
      <c r="E179" s="32">
        <v>0</v>
      </c>
      <c r="F179" s="32">
        <v>0</v>
      </c>
      <c r="G179" s="32">
        <v>0</v>
      </c>
      <c r="H179" s="32">
        <v>298380</v>
      </c>
      <c r="I179" s="15" t="s">
        <v>173</v>
      </c>
    </row>
    <row r="180" spans="1:9" x14ac:dyDescent="0.2">
      <c r="A180" t="s">
        <v>3</v>
      </c>
      <c r="B180" t="s">
        <v>149</v>
      </c>
      <c r="C180" s="15" t="s">
        <v>155</v>
      </c>
      <c r="D180" s="32">
        <v>9637.0333333333238</v>
      </c>
      <c r="E180" s="32">
        <v>0</v>
      </c>
      <c r="F180" s="32">
        <v>6161799.7999999924</v>
      </c>
      <c r="G180" s="32">
        <v>0</v>
      </c>
      <c r="H180" s="32">
        <v>6202957</v>
      </c>
      <c r="I180" s="15" t="s">
        <v>173</v>
      </c>
    </row>
    <row r="181" spans="1:9" x14ac:dyDescent="0.2">
      <c r="A181" t="s">
        <v>6</v>
      </c>
      <c r="B181" t="s">
        <v>149</v>
      </c>
      <c r="C181" s="15" t="s">
        <v>155</v>
      </c>
      <c r="D181" s="32">
        <v>1245.5000000000002</v>
      </c>
      <c r="E181" s="32">
        <v>0</v>
      </c>
      <c r="F181" s="32">
        <v>0</v>
      </c>
      <c r="G181" s="32">
        <v>0</v>
      </c>
      <c r="H181" s="32">
        <v>766569</v>
      </c>
      <c r="I181" s="15" t="s">
        <v>173</v>
      </c>
    </row>
    <row r="182" spans="1:9" x14ac:dyDescent="0.2">
      <c r="A182" t="s">
        <v>29</v>
      </c>
      <c r="B182" t="s">
        <v>149</v>
      </c>
      <c r="C182" s="15" t="s">
        <v>155</v>
      </c>
      <c r="D182" s="32">
        <v>31.416666666666668</v>
      </c>
      <c r="E182" s="32">
        <v>0</v>
      </c>
      <c r="F182" s="32">
        <v>0</v>
      </c>
      <c r="G182" s="32">
        <v>0</v>
      </c>
      <c r="H182" s="32">
        <v>11934</v>
      </c>
      <c r="I182" s="15" t="s">
        <v>173</v>
      </c>
    </row>
    <row r="183" spans="1:9" x14ac:dyDescent="0.2">
      <c r="A183" t="s">
        <v>170</v>
      </c>
      <c r="B183" t="s">
        <v>149</v>
      </c>
      <c r="C183" s="15" t="s">
        <v>155</v>
      </c>
      <c r="D183" s="32">
        <v>654.70000000000027</v>
      </c>
      <c r="E183" s="32">
        <v>0</v>
      </c>
      <c r="F183" s="32">
        <v>174172</v>
      </c>
      <c r="G183" s="32">
        <v>0</v>
      </c>
      <c r="H183" s="32">
        <v>281472</v>
      </c>
      <c r="I183" s="15" t="s">
        <v>173</v>
      </c>
    </row>
    <row r="184" spans="1:9" x14ac:dyDescent="0.2">
      <c r="A184" t="s">
        <v>5</v>
      </c>
      <c r="B184" t="s">
        <v>149</v>
      </c>
      <c r="C184" s="15" t="s">
        <v>155</v>
      </c>
      <c r="D184" s="32">
        <v>1161.2999999999986</v>
      </c>
      <c r="E184" s="32">
        <v>0</v>
      </c>
      <c r="F184" s="32">
        <v>2419894</v>
      </c>
      <c r="G184" s="32">
        <v>0</v>
      </c>
      <c r="H184" s="32">
        <v>2384153</v>
      </c>
      <c r="I184" s="15" t="s">
        <v>173</v>
      </c>
    </row>
    <row r="185" spans="1:9" x14ac:dyDescent="0.2">
      <c r="A185" t="s">
        <v>50</v>
      </c>
      <c r="B185" t="s">
        <v>149</v>
      </c>
      <c r="C185" s="15" t="s">
        <v>155</v>
      </c>
      <c r="D185" s="32">
        <v>10288.483333333334</v>
      </c>
      <c r="E185" s="32">
        <v>0</v>
      </c>
      <c r="F185" s="32">
        <v>0</v>
      </c>
      <c r="G185" s="32">
        <v>0</v>
      </c>
      <c r="H185" s="32">
        <v>7266568</v>
      </c>
      <c r="I185" s="15" t="s">
        <v>173</v>
      </c>
    </row>
    <row r="186" spans="1:9" x14ac:dyDescent="0.2">
      <c r="A186" t="s">
        <v>61</v>
      </c>
      <c r="B186" t="s">
        <v>150</v>
      </c>
      <c r="C186" t="s">
        <v>156</v>
      </c>
      <c r="D186" s="32">
        <v>139.75</v>
      </c>
      <c r="E186" s="32">
        <v>0</v>
      </c>
      <c r="F186" s="32">
        <v>0</v>
      </c>
      <c r="G186" s="32">
        <v>0</v>
      </c>
      <c r="H186" s="32">
        <v>209960</v>
      </c>
      <c r="I186" s="15" t="s">
        <v>173</v>
      </c>
    </row>
    <row r="187" spans="1:9" x14ac:dyDescent="0.2">
      <c r="A187" t="s">
        <v>147</v>
      </c>
      <c r="B187" t="s">
        <v>152</v>
      </c>
      <c r="C187" t="s">
        <v>156</v>
      </c>
      <c r="D187" s="32">
        <v>317.83333333333337</v>
      </c>
      <c r="E187" s="32">
        <v>0</v>
      </c>
      <c r="F187" s="32">
        <v>106545</v>
      </c>
      <c r="G187" s="32">
        <v>0</v>
      </c>
      <c r="H187" s="32">
        <v>246690</v>
      </c>
      <c r="I187" s="15" t="s">
        <v>173</v>
      </c>
    </row>
    <row r="188" spans="1:9" x14ac:dyDescent="0.2">
      <c r="A188" t="s">
        <v>4</v>
      </c>
      <c r="B188" t="s">
        <v>149</v>
      </c>
      <c r="C188" t="s">
        <v>156</v>
      </c>
      <c r="D188" s="32">
        <v>66.666666666666671</v>
      </c>
      <c r="E188" s="32">
        <v>0</v>
      </c>
      <c r="F188" s="32">
        <v>9905</v>
      </c>
      <c r="G188" s="32">
        <v>0</v>
      </c>
      <c r="H188" s="32">
        <v>30040</v>
      </c>
      <c r="I188" s="15" t="s">
        <v>173</v>
      </c>
    </row>
    <row r="189" spans="1:9" x14ac:dyDescent="0.2">
      <c r="A189" t="s">
        <v>2</v>
      </c>
      <c r="B189" t="s">
        <v>149</v>
      </c>
      <c r="C189" t="s">
        <v>156</v>
      </c>
      <c r="D189" s="32">
        <v>16055.583333333318</v>
      </c>
      <c r="E189" s="32">
        <v>22680</v>
      </c>
      <c r="F189" s="32">
        <v>6165158</v>
      </c>
      <c r="G189" s="32">
        <v>0</v>
      </c>
      <c r="H189" s="32">
        <v>10956897</v>
      </c>
      <c r="I189" s="15" t="s">
        <v>173</v>
      </c>
    </row>
    <row r="190" spans="1:9" x14ac:dyDescent="0.2">
      <c r="A190" t="s">
        <v>1</v>
      </c>
      <c r="B190" t="s">
        <v>149</v>
      </c>
      <c r="C190" t="s">
        <v>156</v>
      </c>
      <c r="D190" s="32">
        <v>2893.1333333333323</v>
      </c>
      <c r="E190" s="32">
        <v>0</v>
      </c>
      <c r="F190" s="32">
        <v>1049611.4202000003</v>
      </c>
      <c r="G190" s="32">
        <v>0</v>
      </c>
      <c r="H190" s="32">
        <v>1508398</v>
      </c>
      <c r="I190" s="15" t="s">
        <v>173</v>
      </c>
    </row>
    <row r="191" spans="1:9" x14ac:dyDescent="0.2">
      <c r="A191" t="s">
        <v>76</v>
      </c>
      <c r="B191" t="s">
        <v>152</v>
      </c>
      <c r="C191" t="s">
        <v>156</v>
      </c>
      <c r="D191" s="32">
        <v>459.8333333333332</v>
      </c>
      <c r="E191" s="32">
        <v>0</v>
      </c>
      <c r="F191" s="32">
        <v>154865</v>
      </c>
      <c r="G191" s="32">
        <v>193</v>
      </c>
      <c r="H191" s="32">
        <v>365738</v>
      </c>
      <c r="I191" s="15" t="s">
        <v>173</v>
      </c>
    </row>
    <row r="192" spans="1:9" x14ac:dyDescent="0.2">
      <c r="A192" t="s">
        <v>57</v>
      </c>
      <c r="B192" t="s">
        <v>149</v>
      </c>
      <c r="C192" t="s">
        <v>156</v>
      </c>
      <c r="D192" s="32">
        <v>459.95</v>
      </c>
      <c r="E192" s="32">
        <v>0</v>
      </c>
      <c r="F192" s="32">
        <v>0</v>
      </c>
      <c r="G192" s="32">
        <v>0</v>
      </c>
      <c r="H192" s="32">
        <v>330627</v>
      </c>
      <c r="I192" s="15" t="s">
        <v>173</v>
      </c>
    </row>
    <row r="193" spans="1:9" x14ac:dyDescent="0.2">
      <c r="A193" t="s">
        <v>67</v>
      </c>
      <c r="B193" t="s">
        <v>153</v>
      </c>
      <c r="C193" t="s">
        <v>156</v>
      </c>
      <c r="D193" s="32">
        <v>256.16666666666669</v>
      </c>
      <c r="E193" s="32">
        <v>0</v>
      </c>
      <c r="F193" s="32">
        <v>128454</v>
      </c>
      <c r="G193" s="32">
        <v>0</v>
      </c>
      <c r="H193" s="32">
        <v>222930</v>
      </c>
      <c r="I193" s="15" t="s">
        <v>173</v>
      </c>
    </row>
    <row r="194" spans="1:9" x14ac:dyDescent="0.2">
      <c r="A194" t="s">
        <v>12</v>
      </c>
      <c r="B194" t="s">
        <v>151</v>
      </c>
      <c r="C194" t="s">
        <v>156</v>
      </c>
      <c r="D194" s="32">
        <v>2928.4499999999894</v>
      </c>
      <c r="E194" s="32">
        <v>50509</v>
      </c>
      <c r="F194" s="32">
        <v>1434879</v>
      </c>
      <c r="G194" s="32">
        <v>0</v>
      </c>
      <c r="H194" s="32">
        <v>2040097</v>
      </c>
      <c r="I194" s="15" t="s">
        <v>173</v>
      </c>
    </row>
    <row r="195" spans="1:9" x14ac:dyDescent="0.2">
      <c r="A195" t="s">
        <v>39</v>
      </c>
      <c r="B195" t="s">
        <v>153</v>
      </c>
      <c r="C195" t="s">
        <v>156</v>
      </c>
      <c r="D195" s="32">
        <v>281.39999999999998</v>
      </c>
      <c r="E195" s="32">
        <v>0</v>
      </c>
      <c r="F195" s="32">
        <v>8340</v>
      </c>
      <c r="G195" s="32">
        <v>0</v>
      </c>
      <c r="H195" s="32">
        <v>222768</v>
      </c>
      <c r="I195" s="15" t="s">
        <v>173</v>
      </c>
    </row>
    <row r="196" spans="1:9" x14ac:dyDescent="0.2">
      <c r="A196" t="s">
        <v>65</v>
      </c>
      <c r="B196" t="s">
        <v>153</v>
      </c>
      <c r="C196" t="s">
        <v>156</v>
      </c>
      <c r="D196" s="32">
        <v>1087</v>
      </c>
      <c r="E196" s="32">
        <v>16144</v>
      </c>
      <c r="F196" s="32">
        <v>432198</v>
      </c>
      <c r="G196" s="32">
        <v>0</v>
      </c>
      <c r="H196" s="32">
        <v>986333</v>
      </c>
      <c r="I196" s="15" t="s">
        <v>173</v>
      </c>
    </row>
    <row r="197" spans="1:9" x14ac:dyDescent="0.2">
      <c r="A197" t="s">
        <v>68</v>
      </c>
      <c r="B197" t="s">
        <v>151</v>
      </c>
      <c r="C197" t="s">
        <v>156</v>
      </c>
      <c r="D197" s="32">
        <v>1230.0000000000002</v>
      </c>
      <c r="E197" s="32">
        <v>0</v>
      </c>
      <c r="F197" s="32">
        <v>1372134</v>
      </c>
      <c r="G197" s="32">
        <v>0</v>
      </c>
      <c r="H197" s="32">
        <v>1042390</v>
      </c>
      <c r="I197" s="15" t="s">
        <v>173</v>
      </c>
    </row>
    <row r="198" spans="1:9" x14ac:dyDescent="0.2">
      <c r="A198" t="s">
        <v>10</v>
      </c>
      <c r="B198" t="s">
        <v>150</v>
      </c>
      <c r="C198" t="s">
        <v>156</v>
      </c>
      <c r="D198" s="32">
        <v>6091.7000000000035</v>
      </c>
      <c r="E198" s="32">
        <v>9660</v>
      </c>
      <c r="F198" s="32">
        <v>31389385</v>
      </c>
      <c r="G198" s="32">
        <v>0</v>
      </c>
      <c r="H198" s="32">
        <v>2558309</v>
      </c>
      <c r="I198" s="15" t="s">
        <v>173</v>
      </c>
    </row>
    <row r="199" spans="1:9" x14ac:dyDescent="0.2">
      <c r="A199" t="s">
        <v>8</v>
      </c>
      <c r="B199" t="s">
        <v>150</v>
      </c>
      <c r="C199" t="s">
        <v>156</v>
      </c>
      <c r="D199" s="32">
        <v>7922.666666666687</v>
      </c>
      <c r="E199" s="32">
        <v>92630</v>
      </c>
      <c r="F199" s="32">
        <v>4003894</v>
      </c>
      <c r="G199" s="32">
        <v>0</v>
      </c>
      <c r="H199" s="32">
        <v>4723534</v>
      </c>
      <c r="I199" s="15" t="s">
        <v>173</v>
      </c>
    </row>
    <row r="200" spans="1:9" x14ac:dyDescent="0.2">
      <c r="A200" t="s">
        <v>17</v>
      </c>
      <c r="B200" t="s">
        <v>150</v>
      </c>
      <c r="C200" t="s">
        <v>156</v>
      </c>
      <c r="D200" s="32">
        <v>115.33333333333333</v>
      </c>
      <c r="E200" s="32">
        <v>0</v>
      </c>
      <c r="F200" s="32">
        <v>0</v>
      </c>
      <c r="G200" s="32">
        <v>0</v>
      </c>
      <c r="H200" s="32">
        <v>80878</v>
      </c>
      <c r="I200" s="15" t="s">
        <v>173</v>
      </c>
    </row>
    <row r="201" spans="1:9" x14ac:dyDescent="0.2">
      <c r="A201" t="s">
        <v>52</v>
      </c>
      <c r="B201" t="s">
        <v>150</v>
      </c>
      <c r="C201" t="s">
        <v>156</v>
      </c>
      <c r="D201" s="32">
        <v>126</v>
      </c>
      <c r="E201" s="32">
        <v>0</v>
      </c>
      <c r="F201" s="32">
        <v>0</v>
      </c>
      <c r="G201" s="32">
        <v>0</v>
      </c>
      <c r="H201" s="32">
        <v>77562</v>
      </c>
      <c r="I201" s="15" t="s">
        <v>173</v>
      </c>
    </row>
    <row r="202" spans="1:9" x14ac:dyDescent="0.2">
      <c r="A202" t="s">
        <v>34</v>
      </c>
      <c r="B202" t="s">
        <v>152</v>
      </c>
      <c r="C202" t="s">
        <v>156</v>
      </c>
      <c r="D202" s="32">
        <v>1213.9999999999998</v>
      </c>
      <c r="E202" s="32">
        <v>3195</v>
      </c>
      <c r="F202" s="32">
        <v>556963</v>
      </c>
      <c r="G202" s="32">
        <v>0</v>
      </c>
      <c r="H202" s="32">
        <v>956350</v>
      </c>
      <c r="I202" s="15" t="s">
        <v>173</v>
      </c>
    </row>
    <row r="203" spans="1:9" x14ac:dyDescent="0.2">
      <c r="A203" t="s">
        <v>56</v>
      </c>
      <c r="B203" t="s">
        <v>153</v>
      </c>
      <c r="C203" t="s">
        <v>156</v>
      </c>
      <c r="D203" s="32">
        <v>119.08333333333333</v>
      </c>
      <c r="E203" s="32">
        <v>0</v>
      </c>
      <c r="F203" s="32">
        <v>28586</v>
      </c>
      <c r="G203" s="32">
        <v>0</v>
      </c>
      <c r="H203" s="32">
        <v>104747</v>
      </c>
      <c r="I203" s="15" t="s">
        <v>173</v>
      </c>
    </row>
    <row r="204" spans="1:9" x14ac:dyDescent="0.2">
      <c r="A204" t="s">
        <v>20</v>
      </c>
      <c r="B204" t="s">
        <v>153</v>
      </c>
      <c r="C204" t="s">
        <v>156</v>
      </c>
      <c r="D204" s="32">
        <v>720</v>
      </c>
      <c r="E204" s="32">
        <v>0</v>
      </c>
      <c r="F204" s="32">
        <v>306753</v>
      </c>
      <c r="G204" s="32">
        <v>0</v>
      </c>
      <c r="H204" s="32">
        <v>617700</v>
      </c>
      <c r="I204" s="15" t="s">
        <v>173</v>
      </c>
    </row>
    <row r="205" spans="1:9" x14ac:dyDescent="0.2">
      <c r="A205" t="s">
        <v>18</v>
      </c>
      <c r="B205" t="s">
        <v>153</v>
      </c>
      <c r="C205" t="s">
        <v>156</v>
      </c>
      <c r="D205" s="32">
        <v>664.99999999999977</v>
      </c>
      <c r="E205" s="32">
        <v>0</v>
      </c>
      <c r="F205" s="32">
        <v>0</v>
      </c>
      <c r="G205" s="32">
        <v>0</v>
      </c>
      <c r="H205" s="32">
        <v>540666</v>
      </c>
      <c r="I205" s="15" t="s">
        <v>173</v>
      </c>
    </row>
    <row r="206" spans="1:9" x14ac:dyDescent="0.2">
      <c r="A206" t="s">
        <v>171</v>
      </c>
      <c r="B206" t="s">
        <v>154</v>
      </c>
      <c r="C206" t="s">
        <v>156</v>
      </c>
      <c r="D206" s="32">
        <v>3224.6833333333348</v>
      </c>
      <c r="E206" s="32">
        <v>0</v>
      </c>
      <c r="F206" s="32">
        <v>0</v>
      </c>
      <c r="G206" s="32">
        <v>0</v>
      </c>
      <c r="H206" s="32">
        <v>590748</v>
      </c>
      <c r="I206" s="15" t="s">
        <v>173</v>
      </c>
    </row>
    <row r="207" spans="1:9" x14ac:dyDescent="0.2">
      <c r="A207" t="s">
        <v>7</v>
      </c>
      <c r="B207" t="s">
        <v>150</v>
      </c>
      <c r="C207" t="s">
        <v>156</v>
      </c>
      <c r="D207" s="32">
        <v>3764.9333333333352</v>
      </c>
      <c r="E207" s="32">
        <v>0</v>
      </c>
      <c r="F207" s="32">
        <v>0</v>
      </c>
      <c r="G207" s="32">
        <v>0</v>
      </c>
      <c r="H207" s="32">
        <v>2439188</v>
      </c>
      <c r="I207" s="15" t="s">
        <v>173</v>
      </c>
    </row>
    <row r="208" spans="1:9" x14ac:dyDescent="0.2">
      <c r="A208" t="s">
        <v>31</v>
      </c>
      <c r="B208" t="s">
        <v>152</v>
      </c>
      <c r="C208" t="s">
        <v>156</v>
      </c>
      <c r="D208" s="32">
        <v>2298.0666666666912</v>
      </c>
      <c r="E208" s="32">
        <v>974</v>
      </c>
      <c r="F208" s="32">
        <v>1399849</v>
      </c>
      <c r="G208" s="32">
        <v>2859</v>
      </c>
      <c r="H208" s="32">
        <v>1506886</v>
      </c>
      <c r="I208" s="15" t="s">
        <v>173</v>
      </c>
    </row>
    <row r="209" spans="1:9" x14ac:dyDescent="0.2">
      <c r="A209" t="s">
        <v>33</v>
      </c>
      <c r="B209" t="s">
        <v>152</v>
      </c>
      <c r="C209" t="s">
        <v>156</v>
      </c>
      <c r="D209" s="32">
        <v>194.83333333333337</v>
      </c>
      <c r="E209" s="32">
        <v>103</v>
      </c>
      <c r="F209" s="32">
        <v>324437</v>
      </c>
      <c r="G209" s="32">
        <v>56730</v>
      </c>
      <c r="H209" s="32">
        <v>125790</v>
      </c>
      <c r="I209" s="15" t="s">
        <v>173</v>
      </c>
    </row>
    <row r="210" spans="1:9" x14ac:dyDescent="0.2">
      <c r="A210" t="s">
        <v>9</v>
      </c>
      <c r="B210" t="s">
        <v>150</v>
      </c>
      <c r="C210" t="s">
        <v>156</v>
      </c>
      <c r="D210" s="32">
        <v>9079.9833333333427</v>
      </c>
      <c r="E210" s="32">
        <v>22272</v>
      </c>
      <c r="F210" s="32">
        <v>5014650</v>
      </c>
      <c r="G210" s="32">
        <v>0</v>
      </c>
      <c r="H210" s="32">
        <v>5912730</v>
      </c>
      <c r="I210" s="15" t="s">
        <v>173</v>
      </c>
    </row>
    <row r="211" spans="1:9" x14ac:dyDescent="0.2">
      <c r="A211" t="s">
        <v>63</v>
      </c>
      <c r="B211" t="s">
        <v>152</v>
      </c>
      <c r="C211" t="s">
        <v>156</v>
      </c>
      <c r="D211" s="32">
        <v>70.316666666666663</v>
      </c>
      <c r="E211" s="32">
        <v>0</v>
      </c>
      <c r="F211" s="32">
        <v>0</v>
      </c>
      <c r="G211" s="32">
        <v>0</v>
      </c>
      <c r="H211" s="32">
        <v>35802</v>
      </c>
      <c r="I211" s="15" t="s">
        <v>173</v>
      </c>
    </row>
    <row r="212" spans="1:9" x14ac:dyDescent="0.2">
      <c r="A212" t="s">
        <v>111</v>
      </c>
      <c r="B212" t="s">
        <v>154</v>
      </c>
      <c r="C212" t="s">
        <v>156</v>
      </c>
      <c r="D212" s="32">
        <v>392.39999999999992</v>
      </c>
      <c r="E212" s="32">
        <v>0</v>
      </c>
      <c r="F212" s="32">
        <v>0</v>
      </c>
      <c r="G212" s="32">
        <v>0</v>
      </c>
      <c r="H212" s="32">
        <v>308124</v>
      </c>
      <c r="I212" s="15" t="s">
        <v>173</v>
      </c>
    </row>
    <row r="213" spans="1:9" x14ac:dyDescent="0.2">
      <c r="A213" t="s">
        <v>172</v>
      </c>
      <c r="B213" t="s">
        <v>150</v>
      </c>
      <c r="C213" t="s">
        <v>156</v>
      </c>
      <c r="D213" s="32">
        <v>1583.750000000008</v>
      </c>
      <c r="E213" s="32">
        <v>0</v>
      </c>
      <c r="F213" s="32">
        <v>384583</v>
      </c>
      <c r="G213" s="32">
        <v>0</v>
      </c>
      <c r="H213" s="32">
        <v>869571</v>
      </c>
      <c r="I213" s="15" t="s">
        <v>173</v>
      </c>
    </row>
    <row r="214" spans="1:9" x14ac:dyDescent="0.2">
      <c r="A214" t="s">
        <v>28</v>
      </c>
      <c r="B214" t="s">
        <v>149</v>
      </c>
      <c r="C214" t="s">
        <v>156</v>
      </c>
      <c r="D214" s="32">
        <v>68.833333333333343</v>
      </c>
      <c r="E214" s="32">
        <v>0</v>
      </c>
      <c r="F214" s="32">
        <v>0</v>
      </c>
      <c r="G214" s="32">
        <v>0</v>
      </c>
      <c r="H214" s="32">
        <v>36638</v>
      </c>
      <c r="I214" s="15" t="s">
        <v>173</v>
      </c>
    </row>
    <row r="215" spans="1:9" x14ac:dyDescent="0.2">
      <c r="A215" t="s">
        <v>106</v>
      </c>
      <c r="B215" t="s">
        <v>153</v>
      </c>
      <c r="C215" t="s">
        <v>156</v>
      </c>
      <c r="D215" s="32">
        <v>180.58333333333331</v>
      </c>
      <c r="E215" s="32">
        <v>0</v>
      </c>
      <c r="F215" s="32">
        <v>4923</v>
      </c>
      <c r="G215" s="32">
        <v>0</v>
      </c>
      <c r="H215" s="32">
        <v>143208</v>
      </c>
      <c r="I215" s="15" t="s">
        <v>173</v>
      </c>
    </row>
    <row r="216" spans="1:9" x14ac:dyDescent="0.2">
      <c r="A216" t="s">
        <v>14</v>
      </c>
      <c r="B216" t="s">
        <v>150</v>
      </c>
      <c r="C216" t="s">
        <v>156</v>
      </c>
      <c r="D216" s="32">
        <v>353</v>
      </c>
      <c r="E216" s="32">
        <v>0</v>
      </c>
      <c r="F216" s="32">
        <v>0</v>
      </c>
      <c r="G216" s="32">
        <v>0</v>
      </c>
      <c r="H216" s="32">
        <v>276964</v>
      </c>
      <c r="I216" s="15" t="s">
        <v>173</v>
      </c>
    </row>
    <row r="217" spans="1:9" x14ac:dyDescent="0.2">
      <c r="A217" t="s">
        <v>13</v>
      </c>
      <c r="B217" t="s">
        <v>150</v>
      </c>
      <c r="C217" t="s">
        <v>156</v>
      </c>
      <c r="D217" s="32">
        <v>1692.2333333333331</v>
      </c>
      <c r="E217" s="32">
        <v>0</v>
      </c>
      <c r="F217" s="32">
        <v>1443940</v>
      </c>
      <c r="G217" s="32">
        <v>0</v>
      </c>
      <c r="H217" s="32">
        <v>1230960</v>
      </c>
      <c r="I217" s="15" t="s">
        <v>173</v>
      </c>
    </row>
    <row r="218" spans="1:9" x14ac:dyDescent="0.2">
      <c r="A218" t="s">
        <v>60</v>
      </c>
      <c r="B218" t="s">
        <v>150</v>
      </c>
      <c r="C218" t="s">
        <v>156</v>
      </c>
      <c r="D218" s="32">
        <v>146.73333333333335</v>
      </c>
      <c r="E218" s="32">
        <v>0</v>
      </c>
      <c r="F218" s="32">
        <v>81040</v>
      </c>
      <c r="G218" s="32">
        <v>0</v>
      </c>
      <c r="H218" s="32">
        <v>68882</v>
      </c>
      <c r="I218" s="15" t="s">
        <v>173</v>
      </c>
    </row>
    <row r="219" spans="1:9" x14ac:dyDescent="0.2">
      <c r="A219" t="s">
        <v>64</v>
      </c>
      <c r="B219" t="s">
        <v>153</v>
      </c>
      <c r="C219" t="s">
        <v>156</v>
      </c>
      <c r="D219" s="32">
        <v>1134</v>
      </c>
      <c r="E219" s="32">
        <v>7407</v>
      </c>
      <c r="F219" s="32">
        <v>541453</v>
      </c>
      <c r="G219" s="32">
        <v>7249</v>
      </c>
      <c r="H219" s="32">
        <v>978372</v>
      </c>
      <c r="I219" s="15" t="s">
        <v>173</v>
      </c>
    </row>
    <row r="220" spans="1:9" x14ac:dyDescent="0.2">
      <c r="A220" t="s">
        <v>3</v>
      </c>
      <c r="B220" t="s">
        <v>149</v>
      </c>
      <c r="C220" t="s">
        <v>156</v>
      </c>
      <c r="D220" s="32">
        <v>2510.7000000000021</v>
      </c>
      <c r="E220" s="32">
        <v>0</v>
      </c>
      <c r="F220" s="32">
        <v>795178.6</v>
      </c>
      <c r="G220" s="32">
        <v>0</v>
      </c>
      <c r="H220" s="32">
        <v>1869314</v>
      </c>
      <c r="I220" s="15" t="s">
        <v>173</v>
      </c>
    </row>
    <row r="221" spans="1:9" x14ac:dyDescent="0.2">
      <c r="A221" t="s">
        <v>58</v>
      </c>
      <c r="B221" t="s">
        <v>150</v>
      </c>
      <c r="C221" t="s">
        <v>156</v>
      </c>
      <c r="D221" s="32">
        <v>933.11666666666679</v>
      </c>
      <c r="E221" s="32">
        <v>0</v>
      </c>
      <c r="F221" s="32">
        <v>470144</v>
      </c>
      <c r="G221" s="32">
        <v>0</v>
      </c>
      <c r="H221" s="32">
        <v>660336</v>
      </c>
      <c r="I221" s="15" t="s">
        <v>173</v>
      </c>
    </row>
    <row r="222" spans="1:9" x14ac:dyDescent="0.2">
      <c r="A222" t="s">
        <v>35</v>
      </c>
      <c r="B222" t="s">
        <v>153</v>
      </c>
      <c r="C222" t="s">
        <v>156</v>
      </c>
      <c r="D222" s="32">
        <v>620</v>
      </c>
      <c r="E222" s="32">
        <v>29914</v>
      </c>
      <c r="F222" s="32">
        <v>299067</v>
      </c>
      <c r="G222" s="32">
        <v>0</v>
      </c>
      <c r="H222" s="32">
        <v>567021</v>
      </c>
      <c r="I222" s="15" t="s">
        <v>173</v>
      </c>
    </row>
    <row r="223" spans="1:9" x14ac:dyDescent="0.2">
      <c r="A223" t="s">
        <v>32</v>
      </c>
      <c r="B223" t="s">
        <v>152</v>
      </c>
      <c r="C223" t="s">
        <v>156</v>
      </c>
      <c r="D223" s="32">
        <v>124</v>
      </c>
      <c r="E223" s="32">
        <v>140</v>
      </c>
      <c r="F223" s="32">
        <v>99071</v>
      </c>
      <c r="G223" s="32">
        <v>0</v>
      </c>
      <c r="H223" s="32">
        <v>77810</v>
      </c>
      <c r="I223" s="15" t="s">
        <v>173</v>
      </c>
    </row>
    <row r="224" spans="1:9" x14ac:dyDescent="0.2">
      <c r="A224" t="s">
        <v>62</v>
      </c>
      <c r="B224" t="s">
        <v>152</v>
      </c>
      <c r="C224" t="s">
        <v>156</v>
      </c>
      <c r="D224" s="32">
        <v>607.5</v>
      </c>
      <c r="E224" s="32">
        <v>0</v>
      </c>
      <c r="F224" s="32">
        <v>261962</v>
      </c>
      <c r="G224" s="32">
        <v>130</v>
      </c>
      <c r="H224" s="32">
        <v>464481</v>
      </c>
      <c r="I224" s="15" t="s">
        <v>173</v>
      </c>
    </row>
    <row r="225" spans="1:9" x14ac:dyDescent="0.2">
      <c r="A225" t="s">
        <v>112</v>
      </c>
      <c r="B225" t="s">
        <v>152</v>
      </c>
      <c r="C225" t="s">
        <v>156</v>
      </c>
      <c r="D225" s="32">
        <v>186</v>
      </c>
      <c r="E225" s="32">
        <v>0</v>
      </c>
      <c r="F225" s="32">
        <v>100234</v>
      </c>
      <c r="G225" s="32">
        <v>0</v>
      </c>
      <c r="H225" s="32">
        <v>140864</v>
      </c>
      <c r="I225" s="15" t="s">
        <v>173</v>
      </c>
    </row>
    <row r="226" spans="1:9" x14ac:dyDescent="0.2">
      <c r="A226" t="s">
        <v>19</v>
      </c>
      <c r="B226" t="s">
        <v>152</v>
      </c>
      <c r="C226" t="s">
        <v>156</v>
      </c>
      <c r="D226" s="32">
        <v>869</v>
      </c>
      <c r="E226" s="32">
        <v>0</v>
      </c>
      <c r="F226" s="32">
        <v>470509</v>
      </c>
      <c r="G226" s="32">
        <v>86</v>
      </c>
      <c r="H226" s="32">
        <v>628606</v>
      </c>
      <c r="I226" s="15" t="s">
        <v>173</v>
      </c>
    </row>
    <row r="227" spans="1:9" x14ac:dyDescent="0.2">
      <c r="A227" t="s">
        <v>66</v>
      </c>
      <c r="B227" t="s">
        <v>153</v>
      </c>
      <c r="C227" t="s">
        <v>156</v>
      </c>
      <c r="D227" s="32">
        <v>1020</v>
      </c>
      <c r="E227" s="32">
        <v>18702</v>
      </c>
      <c r="F227" s="32">
        <v>551116</v>
      </c>
      <c r="G227" s="32">
        <v>0</v>
      </c>
      <c r="H227" s="32">
        <v>631106</v>
      </c>
      <c r="I227" s="15" t="s">
        <v>173</v>
      </c>
    </row>
    <row r="228" spans="1:9" x14ac:dyDescent="0.2">
      <c r="A228" t="s">
        <v>99</v>
      </c>
      <c r="B228" t="s">
        <v>153</v>
      </c>
      <c r="C228" t="s">
        <v>156</v>
      </c>
      <c r="D228" s="32">
        <v>462.5</v>
      </c>
      <c r="E228" s="32">
        <v>0</v>
      </c>
      <c r="F228" s="32">
        <v>0</v>
      </c>
      <c r="G228" s="32">
        <v>0</v>
      </c>
      <c r="H228" s="32">
        <v>353091</v>
      </c>
      <c r="I228" s="15" t="s">
        <v>173</v>
      </c>
    </row>
    <row r="229" spans="1:9" x14ac:dyDescent="0.2">
      <c r="A229" t="s">
        <v>29</v>
      </c>
      <c r="B229" t="s">
        <v>149</v>
      </c>
      <c r="C229" t="s">
        <v>156</v>
      </c>
      <c r="D229" s="32">
        <v>375.36666666666667</v>
      </c>
      <c r="E229" s="32">
        <v>0</v>
      </c>
      <c r="F229" s="32">
        <v>0</v>
      </c>
      <c r="G229" s="32">
        <v>0</v>
      </c>
      <c r="H229" s="32">
        <v>253911</v>
      </c>
      <c r="I229" s="15" t="s">
        <v>173</v>
      </c>
    </row>
    <row r="230" spans="1:9" x14ac:dyDescent="0.2">
      <c r="A230" t="s">
        <v>59</v>
      </c>
      <c r="B230" t="s">
        <v>150</v>
      </c>
      <c r="C230" t="s">
        <v>156</v>
      </c>
      <c r="D230" s="32">
        <v>91.383333333333354</v>
      </c>
      <c r="E230" s="32">
        <v>0</v>
      </c>
      <c r="F230" s="32">
        <v>24082</v>
      </c>
      <c r="G230" s="32">
        <v>0</v>
      </c>
      <c r="H230" s="32">
        <v>54633</v>
      </c>
      <c r="I230" s="15" t="s">
        <v>173</v>
      </c>
    </row>
    <row r="231" spans="1:9" x14ac:dyDescent="0.2">
      <c r="A231" t="s">
        <v>38</v>
      </c>
      <c r="B231" t="s">
        <v>150</v>
      </c>
      <c r="C231" t="s">
        <v>156</v>
      </c>
      <c r="D231" s="32">
        <v>1840.3333333333323</v>
      </c>
      <c r="E231" s="32">
        <v>0</v>
      </c>
      <c r="F231" s="32">
        <v>901321</v>
      </c>
      <c r="G231" s="32">
        <v>89</v>
      </c>
      <c r="H231" s="32">
        <v>1285984</v>
      </c>
      <c r="I231" s="15" t="s">
        <v>173</v>
      </c>
    </row>
    <row r="232" spans="1:9" x14ac:dyDescent="0.2">
      <c r="A232" t="s">
        <v>48</v>
      </c>
      <c r="B232" t="s">
        <v>153</v>
      </c>
      <c r="C232" t="s">
        <v>156</v>
      </c>
      <c r="D232" s="32">
        <v>298.18333333333334</v>
      </c>
      <c r="E232" s="32">
        <v>0</v>
      </c>
      <c r="F232" s="32">
        <v>125320</v>
      </c>
      <c r="G232" s="32">
        <v>0</v>
      </c>
      <c r="H232" s="32">
        <v>231242</v>
      </c>
      <c r="I232" s="15" t="s">
        <v>173</v>
      </c>
    </row>
    <row r="233" spans="1:9" x14ac:dyDescent="0.2">
      <c r="A233" t="s">
        <v>26</v>
      </c>
      <c r="B233" t="s">
        <v>153</v>
      </c>
      <c r="C233" t="s">
        <v>156</v>
      </c>
      <c r="D233" s="32">
        <v>104.66666666666666</v>
      </c>
      <c r="E233" s="32">
        <v>0</v>
      </c>
      <c r="F233" s="32">
        <v>3895</v>
      </c>
      <c r="G233" s="32">
        <v>0</v>
      </c>
      <c r="H233" s="32">
        <v>79560</v>
      </c>
      <c r="I233" s="15" t="s">
        <v>173</v>
      </c>
    </row>
    <row r="234" spans="1:9" x14ac:dyDescent="0.2">
      <c r="A234" t="s">
        <v>110</v>
      </c>
      <c r="B234" t="s">
        <v>154</v>
      </c>
      <c r="C234" t="s">
        <v>156</v>
      </c>
      <c r="D234" s="32">
        <v>295.5</v>
      </c>
      <c r="E234" s="32">
        <v>0</v>
      </c>
      <c r="F234" s="32">
        <v>0</v>
      </c>
      <c r="G234" s="32">
        <v>0</v>
      </c>
      <c r="H234" s="32">
        <v>254448</v>
      </c>
      <c r="I234" s="15" t="s">
        <v>173</v>
      </c>
    </row>
    <row r="235" spans="1:9" x14ac:dyDescent="0.2">
      <c r="A235" t="s">
        <v>88</v>
      </c>
      <c r="B235" t="s">
        <v>150</v>
      </c>
      <c r="C235" t="s">
        <v>156</v>
      </c>
      <c r="D235" s="32">
        <v>1868.4166666666677</v>
      </c>
      <c r="E235" s="32">
        <v>0</v>
      </c>
      <c r="F235" s="32">
        <v>0</v>
      </c>
      <c r="G235" s="32">
        <v>0</v>
      </c>
      <c r="H235" s="32">
        <v>1295176</v>
      </c>
      <c r="I235" s="15" t="s">
        <v>173</v>
      </c>
    </row>
    <row r="236" spans="1:9" x14ac:dyDescent="0.2">
      <c r="A236" t="s">
        <v>109</v>
      </c>
      <c r="B236" t="s">
        <v>150</v>
      </c>
      <c r="C236" t="s">
        <v>156</v>
      </c>
      <c r="D236" s="32">
        <v>2313.1666666666674</v>
      </c>
      <c r="E236" s="32">
        <v>0</v>
      </c>
      <c r="F236" s="32">
        <v>1310475</v>
      </c>
      <c r="G236" s="32">
        <v>0</v>
      </c>
      <c r="H236" s="32">
        <v>1482236</v>
      </c>
      <c r="I236" s="15" t="s">
        <v>173</v>
      </c>
    </row>
    <row r="237" spans="1:9" x14ac:dyDescent="0.2">
      <c r="A237" t="s">
        <v>16</v>
      </c>
      <c r="B237" t="s">
        <v>150</v>
      </c>
      <c r="C237" t="s">
        <v>156</v>
      </c>
      <c r="D237" s="32">
        <v>597.00000000000023</v>
      </c>
      <c r="E237" s="32">
        <v>0</v>
      </c>
      <c r="F237" s="32">
        <v>300615</v>
      </c>
      <c r="G237" s="32">
        <v>0</v>
      </c>
      <c r="H237" s="32">
        <v>364892</v>
      </c>
      <c r="I237" s="15" t="s">
        <v>173</v>
      </c>
    </row>
    <row r="238" spans="1:9" x14ac:dyDescent="0.2">
      <c r="A238" t="s">
        <v>69</v>
      </c>
      <c r="B238" t="s">
        <v>151</v>
      </c>
      <c r="C238" t="s">
        <v>156</v>
      </c>
      <c r="D238" s="32">
        <v>2625.5333333333319</v>
      </c>
      <c r="E238" s="32">
        <v>0</v>
      </c>
      <c r="F238" s="32">
        <v>1701863</v>
      </c>
      <c r="G238" s="32">
        <v>0</v>
      </c>
      <c r="H238" s="32">
        <v>2207002</v>
      </c>
      <c r="I238" s="15" t="s">
        <v>173</v>
      </c>
    </row>
    <row r="239" spans="1:9" x14ac:dyDescent="0.2">
      <c r="A239" t="s">
        <v>36</v>
      </c>
      <c r="B239" t="s">
        <v>152</v>
      </c>
      <c r="C239" t="s">
        <v>156</v>
      </c>
      <c r="D239" s="32">
        <v>248</v>
      </c>
      <c r="E239" s="32">
        <v>5680</v>
      </c>
      <c r="F239" s="32">
        <v>152611</v>
      </c>
      <c r="G239" s="32">
        <v>0</v>
      </c>
      <c r="H239" s="32">
        <v>154442</v>
      </c>
      <c r="I239" s="15" t="s">
        <v>173</v>
      </c>
    </row>
    <row r="240" spans="1:9" x14ac:dyDescent="0.2">
      <c r="A240" t="s">
        <v>51</v>
      </c>
      <c r="B240" t="s">
        <v>152</v>
      </c>
      <c r="C240" t="s">
        <v>156</v>
      </c>
      <c r="D240" s="32">
        <v>310</v>
      </c>
      <c r="E240" s="32">
        <v>1452</v>
      </c>
      <c r="F240" s="32">
        <v>112481</v>
      </c>
      <c r="G240" s="32">
        <v>0</v>
      </c>
      <c r="H240" s="32">
        <v>262942</v>
      </c>
      <c r="I240" s="15" t="s">
        <v>173</v>
      </c>
    </row>
    <row r="241" spans="1:9" x14ac:dyDescent="0.2">
      <c r="A241" t="s">
        <v>79</v>
      </c>
      <c r="B241" t="s">
        <v>152</v>
      </c>
      <c r="C241" t="s">
        <v>156</v>
      </c>
      <c r="D241" s="32">
        <v>665</v>
      </c>
      <c r="E241" s="32">
        <v>0</v>
      </c>
      <c r="F241" s="32">
        <v>227479</v>
      </c>
      <c r="G241" s="32">
        <v>41</v>
      </c>
      <c r="H241" s="32">
        <v>512946</v>
      </c>
      <c r="I241" s="15" t="s">
        <v>173</v>
      </c>
    </row>
    <row r="242" spans="1:9" x14ac:dyDescent="0.2">
      <c r="A242" t="s">
        <v>40</v>
      </c>
      <c r="B242" t="s">
        <v>152</v>
      </c>
      <c r="C242" t="s">
        <v>156</v>
      </c>
      <c r="D242" s="32">
        <v>50</v>
      </c>
      <c r="E242" s="32">
        <v>0</v>
      </c>
      <c r="F242" s="32">
        <v>224</v>
      </c>
      <c r="G242" s="32">
        <v>0</v>
      </c>
      <c r="H242" s="32">
        <v>36270</v>
      </c>
      <c r="I242" s="15" t="s">
        <v>173</v>
      </c>
    </row>
    <row r="243" spans="1:9" x14ac:dyDescent="0.2">
      <c r="A243" t="s">
        <v>44</v>
      </c>
      <c r="B243" t="s">
        <v>153</v>
      </c>
      <c r="C243" t="s">
        <v>156</v>
      </c>
      <c r="D243" s="32">
        <v>325.75</v>
      </c>
      <c r="E243" s="32">
        <v>0</v>
      </c>
      <c r="F243" s="32">
        <v>135126</v>
      </c>
      <c r="G243" s="32">
        <v>0</v>
      </c>
      <c r="H243" s="32">
        <v>252298</v>
      </c>
      <c r="I243" s="15" t="s">
        <v>173</v>
      </c>
    </row>
    <row r="244" spans="1:9" x14ac:dyDescent="0.2">
      <c r="A244" t="s">
        <v>70</v>
      </c>
      <c r="B244" t="s">
        <v>153</v>
      </c>
      <c r="C244" t="s">
        <v>156</v>
      </c>
      <c r="D244" s="32">
        <v>206.8</v>
      </c>
      <c r="E244" s="32">
        <v>0</v>
      </c>
      <c r="F244" s="32">
        <v>22220</v>
      </c>
      <c r="G244" s="32">
        <v>0</v>
      </c>
      <c r="H244" s="32">
        <v>160368</v>
      </c>
      <c r="I244" s="15" t="s">
        <v>173</v>
      </c>
    </row>
    <row r="245" spans="1:9" x14ac:dyDescent="0.2">
      <c r="A245" t="s">
        <v>89</v>
      </c>
      <c r="B245" t="s">
        <v>152</v>
      </c>
      <c r="C245" t="s">
        <v>156</v>
      </c>
      <c r="D245" s="32">
        <v>80</v>
      </c>
      <c r="E245" s="32">
        <v>0</v>
      </c>
      <c r="F245" s="32">
        <v>9223</v>
      </c>
      <c r="G245" s="32">
        <v>0</v>
      </c>
      <c r="H245" s="32">
        <v>33280</v>
      </c>
      <c r="I245" s="15" t="s">
        <v>173</v>
      </c>
    </row>
    <row r="246" spans="1:9" x14ac:dyDescent="0.2">
      <c r="A246" t="s">
        <v>22</v>
      </c>
      <c r="B246" t="s">
        <v>153</v>
      </c>
      <c r="C246" t="s">
        <v>156</v>
      </c>
      <c r="D246" s="32">
        <v>193.64999999999998</v>
      </c>
      <c r="E246" s="32">
        <v>0</v>
      </c>
      <c r="F246" s="32">
        <v>50700</v>
      </c>
      <c r="G246" s="32">
        <v>0</v>
      </c>
      <c r="H246" s="32">
        <v>149535</v>
      </c>
      <c r="I246" s="15" t="s">
        <v>173</v>
      </c>
    </row>
    <row r="247" spans="1:9" x14ac:dyDescent="0.2">
      <c r="A247" t="s">
        <v>21</v>
      </c>
      <c r="B247" t="s">
        <v>153</v>
      </c>
      <c r="C247" t="s">
        <v>156</v>
      </c>
      <c r="D247" s="32">
        <v>279.2833333333333</v>
      </c>
      <c r="E247" s="32">
        <v>0</v>
      </c>
      <c r="F247" s="32">
        <v>67120</v>
      </c>
      <c r="G247" s="32">
        <v>0</v>
      </c>
      <c r="H247" s="32">
        <v>215176</v>
      </c>
      <c r="I247" s="15" t="s">
        <v>173</v>
      </c>
    </row>
    <row r="248" spans="1:9" x14ac:dyDescent="0.2">
      <c r="A248" t="s">
        <v>90</v>
      </c>
      <c r="B248" t="s">
        <v>150</v>
      </c>
      <c r="C248" t="s">
        <v>156</v>
      </c>
      <c r="D248" s="32">
        <v>8774.7999999999884</v>
      </c>
      <c r="E248" s="32">
        <v>696</v>
      </c>
      <c r="F248" s="32">
        <v>4287824</v>
      </c>
      <c r="G248" s="32">
        <v>0</v>
      </c>
      <c r="H248" s="32">
        <v>6472095</v>
      </c>
      <c r="I248" s="15" t="s">
        <v>173</v>
      </c>
    </row>
    <row r="249" spans="1:9" x14ac:dyDescent="0.2">
      <c r="A249" t="s">
        <v>15</v>
      </c>
      <c r="B249" t="s">
        <v>150</v>
      </c>
      <c r="C249" t="s">
        <v>156</v>
      </c>
      <c r="D249" s="32">
        <v>306</v>
      </c>
      <c r="E249" s="32">
        <v>0</v>
      </c>
      <c r="F249" s="32">
        <v>0</v>
      </c>
      <c r="G249" s="32">
        <v>0</v>
      </c>
      <c r="H249" s="32">
        <v>218266</v>
      </c>
      <c r="I249" s="15" t="s">
        <v>173</v>
      </c>
    </row>
    <row r="250" spans="1:9" x14ac:dyDescent="0.2">
      <c r="A250" t="s">
        <v>30</v>
      </c>
      <c r="B250" t="s">
        <v>150</v>
      </c>
      <c r="C250" t="s">
        <v>156</v>
      </c>
      <c r="D250" s="32">
        <v>3698.4000000000005</v>
      </c>
      <c r="E250" s="32">
        <v>0</v>
      </c>
      <c r="F250" s="32">
        <v>1673062</v>
      </c>
      <c r="G250" s="32">
        <v>0</v>
      </c>
      <c r="H250" s="32">
        <v>2242469</v>
      </c>
      <c r="I250" s="15" t="s">
        <v>173</v>
      </c>
    </row>
    <row r="251" spans="1:9" x14ac:dyDescent="0.2">
      <c r="A251" t="s">
        <v>73</v>
      </c>
      <c r="B251" t="s">
        <v>150</v>
      </c>
      <c r="C251" t="s">
        <v>156</v>
      </c>
      <c r="D251" s="32">
        <v>381.71666666666641</v>
      </c>
      <c r="E251" s="32">
        <v>0</v>
      </c>
      <c r="F251" s="32">
        <v>237820</v>
      </c>
      <c r="G251" s="32">
        <v>0</v>
      </c>
      <c r="H251" s="32">
        <v>279908</v>
      </c>
      <c r="I251" s="15" t="s">
        <v>173</v>
      </c>
    </row>
    <row r="252" spans="1:9" x14ac:dyDescent="0.2">
      <c r="A252" t="s">
        <v>81</v>
      </c>
      <c r="B252" t="s">
        <v>153</v>
      </c>
      <c r="C252" t="s">
        <v>156</v>
      </c>
      <c r="D252" s="32">
        <v>171</v>
      </c>
      <c r="E252" s="32">
        <v>0</v>
      </c>
      <c r="F252" s="32">
        <v>132450</v>
      </c>
      <c r="G252" s="32">
        <v>0</v>
      </c>
      <c r="H252" s="32">
        <v>143730</v>
      </c>
      <c r="I252" s="15" t="s">
        <v>173</v>
      </c>
    </row>
    <row r="253" spans="1:9" x14ac:dyDescent="0.2">
      <c r="A253" t="s">
        <v>5</v>
      </c>
      <c r="B253" t="s">
        <v>149</v>
      </c>
      <c r="C253" t="s">
        <v>156</v>
      </c>
      <c r="D253" s="32">
        <v>138.86666666666679</v>
      </c>
      <c r="E253" s="32">
        <v>0</v>
      </c>
      <c r="F253" s="32">
        <v>159355</v>
      </c>
      <c r="G253" s="32">
        <v>0</v>
      </c>
      <c r="H253" s="32">
        <v>173270</v>
      </c>
      <c r="I253" s="15" t="s">
        <v>173</v>
      </c>
    </row>
    <row r="254" spans="1:9" x14ac:dyDescent="0.2">
      <c r="A254" t="s">
        <v>50</v>
      </c>
      <c r="B254" t="s">
        <v>149</v>
      </c>
      <c r="C254" t="s">
        <v>156</v>
      </c>
      <c r="D254" s="32">
        <v>4039.3166666666693</v>
      </c>
      <c r="E254" s="32">
        <v>0</v>
      </c>
      <c r="F254" s="32">
        <v>0</v>
      </c>
      <c r="G254" s="32">
        <v>0</v>
      </c>
      <c r="H254" s="32">
        <v>2999126</v>
      </c>
      <c r="I254" s="15" t="s">
        <v>173</v>
      </c>
    </row>
    <row r="255" spans="1:9" x14ac:dyDescent="0.2">
      <c r="A255" t="s">
        <v>37</v>
      </c>
      <c r="B255" t="s">
        <v>151</v>
      </c>
      <c r="C255" t="s">
        <v>156</v>
      </c>
      <c r="D255" s="32">
        <v>2598.1666666666642</v>
      </c>
      <c r="E255" s="32">
        <v>0</v>
      </c>
      <c r="F255" s="32">
        <v>1419627</v>
      </c>
      <c r="G255" s="32">
        <v>0</v>
      </c>
      <c r="H255" s="32">
        <v>2250516</v>
      </c>
      <c r="I255" s="15" t="s">
        <v>173</v>
      </c>
    </row>
    <row r="256" spans="1:9" x14ac:dyDescent="0.2">
      <c r="A256" t="s">
        <v>41</v>
      </c>
      <c r="B256" t="s">
        <v>153</v>
      </c>
      <c r="C256" t="s">
        <v>156</v>
      </c>
      <c r="D256" s="32">
        <v>318.2833333333333</v>
      </c>
      <c r="E256" s="32">
        <v>0</v>
      </c>
      <c r="F256" s="32">
        <v>156762</v>
      </c>
      <c r="G256" s="32">
        <v>0</v>
      </c>
      <c r="H256" s="32">
        <v>258241</v>
      </c>
      <c r="I256" s="15" t="s">
        <v>173</v>
      </c>
    </row>
    <row r="257" spans="1:9" x14ac:dyDescent="0.2">
      <c r="A257" t="s">
        <v>108</v>
      </c>
      <c r="B257" t="s">
        <v>149</v>
      </c>
      <c r="C257" t="s">
        <v>155</v>
      </c>
      <c r="D257" s="32">
        <v>205.31666666666666</v>
      </c>
      <c r="E257" s="32">
        <v>258</v>
      </c>
      <c r="F257" s="32">
        <v>57256.9</v>
      </c>
      <c r="G257" s="32">
        <v>677.30000000000007</v>
      </c>
      <c r="H257" s="32">
        <v>86566</v>
      </c>
      <c r="I257" s="15" t="s">
        <v>180</v>
      </c>
    </row>
    <row r="258" spans="1:9" x14ac:dyDescent="0.2">
      <c r="A258" t="s">
        <v>4</v>
      </c>
      <c r="B258" t="s">
        <v>149</v>
      </c>
      <c r="C258" t="s">
        <v>155</v>
      </c>
      <c r="D258" s="32">
        <v>2894.95</v>
      </c>
      <c r="E258" s="32">
        <v>0</v>
      </c>
      <c r="F258" s="32">
        <v>340774</v>
      </c>
      <c r="G258" s="32">
        <v>0</v>
      </c>
      <c r="H258" s="32">
        <v>1037605</v>
      </c>
      <c r="I258" s="15" t="s">
        <v>180</v>
      </c>
    </row>
    <row r="259" spans="1:9" x14ac:dyDescent="0.2">
      <c r="A259" t="s">
        <v>2</v>
      </c>
      <c r="B259" t="s">
        <v>149</v>
      </c>
      <c r="C259" t="s">
        <v>155</v>
      </c>
      <c r="D259" s="32">
        <v>8704.0166666666719</v>
      </c>
      <c r="E259" s="32">
        <v>3208</v>
      </c>
      <c r="F259" s="32">
        <v>4031520</v>
      </c>
      <c r="G259" s="32">
        <v>0</v>
      </c>
      <c r="H259" s="32">
        <v>4238874</v>
      </c>
      <c r="I259" s="15" t="s">
        <v>180</v>
      </c>
    </row>
    <row r="260" spans="1:9" x14ac:dyDescent="0.2">
      <c r="A260" t="s">
        <v>1</v>
      </c>
      <c r="B260" t="s">
        <v>149</v>
      </c>
      <c r="C260" t="s">
        <v>155</v>
      </c>
      <c r="D260" s="32">
        <v>15785.433333333323</v>
      </c>
      <c r="E260" s="32">
        <v>203.97299999999996</v>
      </c>
      <c r="F260" s="32">
        <v>5637959.8904000092</v>
      </c>
      <c r="G260" s="32">
        <v>203.97299999999996</v>
      </c>
      <c r="H260" s="32">
        <v>6741711</v>
      </c>
      <c r="I260" s="15" t="s">
        <v>180</v>
      </c>
    </row>
    <row r="261" spans="1:9" x14ac:dyDescent="0.2">
      <c r="A261" t="s">
        <v>57</v>
      </c>
      <c r="B261" t="s">
        <v>149</v>
      </c>
      <c r="C261" t="s">
        <v>155</v>
      </c>
      <c r="D261" s="32">
        <v>75</v>
      </c>
      <c r="E261" s="32">
        <v>0</v>
      </c>
      <c r="F261" s="32">
        <v>0</v>
      </c>
      <c r="G261" s="32">
        <v>0</v>
      </c>
      <c r="H261" s="32">
        <v>29070</v>
      </c>
      <c r="I261" s="15" t="s">
        <v>180</v>
      </c>
    </row>
    <row r="262" spans="1:9" x14ac:dyDescent="0.2">
      <c r="A262" t="s">
        <v>28</v>
      </c>
      <c r="B262" t="s">
        <v>149</v>
      </c>
      <c r="C262" t="s">
        <v>155</v>
      </c>
      <c r="D262" s="32">
        <v>649.99999999999977</v>
      </c>
      <c r="E262" s="32">
        <v>0</v>
      </c>
      <c r="F262" s="32">
        <v>0</v>
      </c>
      <c r="G262" s="32">
        <v>0</v>
      </c>
      <c r="H262" s="32">
        <v>300313</v>
      </c>
      <c r="I262" s="15" t="s">
        <v>180</v>
      </c>
    </row>
    <row r="263" spans="1:9" x14ac:dyDescent="0.2">
      <c r="A263" t="s">
        <v>3</v>
      </c>
      <c r="B263" t="s">
        <v>149</v>
      </c>
      <c r="C263" t="s">
        <v>155</v>
      </c>
      <c r="D263" s="32">
        <v>9440.3666666666704</v>
      </c>
      <c r="E263" s="32">
        <v>0</v>
      </c>
      <c r="F263" s="32">
        <v>6240478.7999999821</v>
      </c>
      <c r="G263" s="32">
        <v>0</v>
      </c>
      <c r="H263" s="32">
        <v>6085616</v>
      </c>
      <c r="I263" s="15" t="s">
        <v>180</v>
      </c>
    </row>
    <row r="264" spans="1:9" x14ac:dyDescent="0.2">
      <c r="A264" t="s">
        <v>6</v>
      </c>
      <c r="B264" t="s">
        <v>149</v>
      </c>
      <c r="C264" t="s">
        <v>155</v>
      </c>
      <c r="D264" s="32">
        <v>1223.5</v>
      </c>
      <c r="E264" s="32">
        <v>0</v>
      </c>
      <c r="F264" s="32">
        <v>0</v>
      </c>
      <c r="G264" s="32">
        <v>0</v>
      </c>
      <c r="H264" s="32">
        <v>776427</v>
      </c>
      <c r="I264" s="15" t="s">
        <v>180</v>
      </c>
    </row>
    <row r="265" spans="1:9" x14ac:dyDescent="0.2">
      <c r="A265" t="s">
        <v>29</v>
      </c>
      <c r="B265" t="s">
        <v>149</v>
      </c>
      <c r="C265" t="s">
        <v>155</v>
      </c>
      <c r="D265" s="32">
        <v>31.566666666666666</v>
      </c>
      <c r="E265" s="32">
        <v>0</v>
      </c>
      <c r="F265" s="32">
        <v>0</v>
      </c>
      <c r="G265" s="32">
        <v>0</v>
      </c>
      <c r="H265" s="32">
        <v>12393</v>
      </c>
      <c r="I265" s="15" t="s">
        <v>180</v>
      </c>
    </row>
    <row r="266" spans="1:9" x14ac:dyDescent="0.2">
      <c r="A266" t="s">
        <v>170</v>
      </c>
      <c r="B266" t="s">
        <v>149</v>
      </c>
      <c r="C266" t="s">
        <v>155</v>
      </c>
      <c r="D266" s="32">
        <v>647.6</v>
      </c>
      <c r="E266" s="32">
        <v>0</v>
      </c>
      <c r="F266" s="32">
        <v>177946</v>
      </c>
      <c r="G266" s="32">
        <v>0</v>
      </c>
      <c r="H266" s="32">
        <v>277680</v>
      </c>
      <c r="I266" s="15" t="s">
        <v>180</v>
      </c>
    </row>
    <row r="267" spans="1:9" x14ac:dyDescent="0.2">
      <c r="A267" t="s">
        <v>5</v>
      </c>
      <c r="B267" t="s">
        <v>149</v>
      </c>
      <c r="C267" t="s">
        <v>155</v>
      </c>
      <c r="D267" s="32">
        <v>1298.8166666666659</v>
      </c>
      <c r="E267" s="32">
        <v>0</v>
      </c>
      <c r="F267" s="32">
        <v>2690948</v>
      </c>
      <c r="G267" s="32">
        <v>0</v>
      </c>
      <c r="H267" s="32">
        <v>2740381</v>
      </c>
      <c r="I267" s="15" t="s">
        <v>180</v>
      </c>
    </row>
    <row r="268" spans="1:9" x14ac:dyDescent="0.2">
      <c r="A268" t="s">
        <v>50</v>
      </c>
      <c r="B268" t="s">
        <v>149</v>
      </c>
      <c r="C268" t="s">
        <v>155</v>
      </c>
      <c r="D268" s="32">
        <v>10844.549999999967</v>
      </c>
      <c r="E268" s="32">
        <v>0</v>
      </c>
      <c r="F268" s="32">
        <v>0</v>
      </c>
      <c r="G268" s="32">
        <v>0</v>
      </c>
      <c r="H268" s="32">
        <v>7648629</v>
      </c>
      <c r="I268" s="15" t="s">
        <v>180</v>
      </c>
    </row>
    <row r="269" spans="1:9" x14ac:dyDescent="0.2">
      <c r="A269" t="s">
        <v>61</v>
      </c>
      <c r="B269" t="s">
        <v>150</v>
      </c>
      <c r="C269" t="s">
        <v>156</v>
      </c>
      <c r="D269" s="32">
        <v>118.9</v>
      </c>
      <c r="E269" s="32">
        <v>0</v>
      </c>
      <c r="F269" s="32">
        <v>0</v>
      </c>
      <c r="G269" s="32">
        <v>0</v>
      </c>
      <c r="H269" s="32">
        <v>184060</v>
      </c>
      <c r="I269" s="15" t="s">
        <v>180</v>
      </c>
    </row>
    <row r="270" spans="1:9" x14ac:dyDescent="0.2">
      <c r="A270" t="s">
        <v>147</v>
      </c>
      <c r="B270" t="s">
        <v>152</v>
      </c>
      <c r="C270" t="s">
        <v>156</v>
      </c>
      <c r="D270" s="32">
        <v>366.49999999999994</v>
      </c>
      <c r="E270" s="32">
        <v>0</v>
      </c>
      <c r="F270" s="32">
        <v>127219</v>
      </c>
      <c r="G270" s="32">
        <v>0</v>
      </c>
      <c r="H270" s="32">
        <v>287805</v>
      </c>
      <c r="I270" s="15" t="s">
        <v>180</v>
      </c>
    </row>
    <row r="271" spans="1:9" x14ac:dyDescent="0.2">
      <c r="A271" t="s">
        <v>4</v>
      </c>
      <c r="B271" t="s">
        <v>149</v>
      </c>
      <c r="C271" t="s">
        <v>156</v>
      </c>
      <c r="D271" s="32">
        <v>66.666666666666671</v>
      </c>
      <c r="E271" s="32">
        <v>0</v>
      </c>
      <c r="F271" s="32">
        <v>12153</v>
      </c>
      <c r="G271" s="32">
        <v>0</v>
      </c>
      <c r="H271" s="32">
        <v>30040</v>
      </c>
      <c r="I271" s="15" t="s">
        <v>180</v>
      </c>
    </row>
    <row r="272" spans="1:9" x14ac:dyDescent="0.2">
      <c r="A272" t="s">
        <v>2</v>
      </c>
      <c r="B272" t="s">
        <v>149</v>
      </c>
      <c r="C272" t="s">
        <v>156</v>
      </c>
      <c r="D272" s="32">
        <v>16413.566666666669</v>
      </c>
      <c r="E272" s="32">
        <v>31942</v>
      </c>
      <c r="F272" s="32">
        <v>6202549</v>
      </c>
      <c r="G272" s="32">
        <v>0</v>
      </c>
      <c r="H272" s="32">
        <v>11182053</v>
      </c>
      <c r="I272" s="15" t="s">
        <v>180</v>
      </c>
    </row>
    <row r="273" spans="1:9" x14ac:dyDescent="0.2">
      <c r="A273" t="s">
        <v>1</v>
      </c>
      <c r="B273" t="s">
        <v>149</v>
      </c>
      <c r="C273" t="s">
        <v>156</v>
      </c>
      <c r="D273" s="32">
        <v>3048.3500000000026</v>
      </c>
      <c r="E273" s="32">
        <v>0</v>
      </c>
      <c r="F273" s="32">
        <v>1112336.7721000004</v>
      </c>
      <c r="G273" s="32">
        <v>0</v>
      </c>
      <c r="H273" s="32">
        <v>1569307</v>
      </c>
      <c r="I273" s="15" t="s">
        <v>180</v>
      </c>
    </row>
    <row r="274" spans="1:9" x14ac:dyDescent="0.2">
      <c r="A274" t="s">
        <v>76</v>
      </c>
      <c r="B274" t="s">
        <v>152</v>
      </c>
      <c r="C274" t="s">
        <v>156</v>
      </c>
      <c r="D274" s="32">
        <v>180</v>
      </c>
      <c r="E274" s="32">
        <v>0</v>
      </c>
      <c r="F274" s="32">
        <v>84097</v>
      </c>
      <c r="G274" s="32">
        <v>41</v>
      </c>
      <c r="H274" s="32">
        <v>136320</v>
      </c>
      <c r="I274" s="15" t="s">
        <v>180</v>
      </c>
    </row>
    <row r="275" spans="1:9" x14ac:dyDescent="0.2">
      <c r="A275" t="s">
        <v>57</v>
      </c>
      <c r="B275" t="s">
        <v>149</v>
      </c>
      <c r="C275" t="s">
        <v>156</v>
      </c>
      <c r="D275" s="32">
        <v>435.50000000000006</v>
      </c>
      <c r="E275" s="32">
        <v>0</v>
      </c>
      <c r="F275" s="32">
        <v>0</v>
      </c>
      <c r="G275" s="32">
        <v>0</v>
      </c>
      <c r="H275" s="32">
        <v>321496</v>
      </c>
      <c r="I275" s="15" t="s">
        <v>180</v>
      </c>
    </row>
    <row r="276" spans="1:9" x14ac:dyDescent="0.2">
      <c r="A276" t="s">
        <v>67</v>
      </c>
      <c r="B276" t="s">
        <v>153</v>
      </c>
      <c r="C276" t="s">
        <v>156</v>
      </c>
      <c r="D276" s="32">
        <v>256.83333333333337</v>
      </c>
      <c r="E276" s="32">
        <v>0</v>
      </c>
      <c r="F276" s="32">
        <v>131803</v>
      </c>
      <c r="G276" s="32">
        <v>0</v>
      </c>
      <c r="H276" s="32">
        <v>223822</v>
      </c>
      <c r="I276" s="15" t="s">
        <v>180</v>
      </c>
    </row>
    <row r="277" spans="1:9" x14ac:dyDescent="0.2">
      <c r="A277" t="s">
        <v>12</v>
      </c>
      <c r="B277" t="s">
        <v>151</v>
      </c>
      <c r="C277" t="s">
        <v>156</v>
      </c>
      <c r="D277" s="32">
        <v>2148.9000000000028</v>
      </c>
      <c r="E277" s="32">
        <v>59118</v>
      </c>
      <c r="F277" s="32">
        <v>1152532</v>
      </c>
      <c r="G277" s="32">
        <v>0</v>
      </c>
      <c r="H277" s="32">
        <v>1482291</v>
      </c>
      <c r="I277" s="15" t="s">
        <v>180</v>
      </c>
    </row>
    <row r="278" spans="1:9" x14ac:dyDescent="0.2">
      <c r="A278" t="s">
        <v>39</v>
      </c>
      <c r="B278" t="s">
        <v>153</v>
      </c>
      <c r="C278" t="s">
        <v>156</v>
      </c>
      <c r="D278" s="32">
        <v>240.95</v>
      </c>
      <c r="E278" s="32">
        <v>0</v>
      </c>
      <c r="F278" s="32">
        <v>7043</v>
      </c>
      <c r="G278" s="32">
        <v>0</v>
      </c>
      <c r="H278" s="32">
        <v>190944</v>
      </c>
      <c r="I278" s="15" t="s">
        <v>180</v>
      </c>
    </row>
    <row r="279" spans="1:9" x14ac:dyDescent="0.2">
      <c r="A279" t="s">
        <v>65</v>
      </c>
      <c r="B279" t="s">
        <v>153</v>
      </c>
      <c r="C279" t="s">
        <v>156</v>
      </c>
      <c r="D279" s="32">
        <v>781</v>
      </c>
      <c r="E279" s="32">
        <v>16593</v>
      </c>
      <c r="F279" s="32">
        <v>387961</v>
      </c>
      <c r="G279" s="32">
        <v>0</v>
      </c>
      <c r="H279" s="32">
        <v>707029</v>
      </c>
      <c r="I279" s="15" t="s">
        <v>180</v>
      </c>
    </row>
    <row r="280" spans="1:9" x14ac:dyDescent="0.2">
      <c r="A280" t="s">
        <v>68</v>
      </c>
      <c r="B280" t="s">
        <v>151</v>
      </c>
      <c r="C280" t="s">
        <v>156</v>
      </c>
      <c r="D280" s="32">
        <v>975.0999999999998</v>
      </c>
      <c r="E280" s="32">
        <v>0</v>
      </c>
      <c r="F280" s="32">
        <v>1102903</v>
      </c>
      <c r="G280" s="32">
        <v>0</v>
      </c>
      <c r="H280" s="32">
        <v>834640</v>
      </c>
      <c r="I280" s="15" t="s">
        <v>180</v>
      </c>
    </row>
    <row r="281" spans="1:9" x14ac:dyDescent="0.2">
      <c r="A281" t="s">
        <v>10</v>
      </c>
      <c r="B281" t="s">
        <v>150</v>
      </c>
      <c r="C281" t="s">
        <v>156</v>
      </c>
      <c r="D281" s="32">
        <v>5443.1666666666752</v>
      </c>
      <c r="E281" s="32">
        <v>9418</v>
      </c>
      <c r="F281" s="32">
        <v>27891415</v>
      </c>
      <c r="G281" s="32">
        <v>0</v>
      </c>
      <c r="H281" s="32">
        <v>2293955</v>
      </c>
      <c r="I281" s="15" t="s">
        <v>180</v>
      </c>
    </row>
    <row r="282" spans="1:9" x14ac:dyDescent="0.2">
      <c r="A282" t="s">
        <v>8</v>
      </c>
      <c r="B282" t="s">
        <v>150</v>
      </c>
      <c r="C282" t="s">
        <v>156</v>
      </c>
      <c r="D282" s="32">
        <v>6548.083333333253</v>
      </c>
      <c r="E282" s="32">
        <v>107150</v>
      </c>
      <c r="F282" s="32">
        <v>3377281</v>
      </c>
      <c r="G282" s="32">
        <v>0</v>
      </c>
      <c r="H282" s="32">
        <v>3888824</v>
      </c>
      <c r="I282" s="15" t="s">
        <v>180</v>
      </c>
    </row>
    <row r="283" spans="1:9" x14ac:dyDescent="0.2">
      <c r="A283" t="s">
        <v>17</v>
      </c>
      <c r="B283" t="s">
        <v>150</v>
      </c>
      <c r="C283" t="s">
        <v>156</v>
      </c>
      <c r="D283" s="32">
        <v>115.66666666666666</v>
      </c>
      <c r="E283" s="32">
        <v>0</v>
      </c>
      <c r="F283" s="32">
        <v>0</v>
      </c>
      <c r="G283" s="32">
        <v>0</v>
      </c>
      <c r="H283" s="32">
        <v>81670</v>
      </c>
      <c r="I283" s="15" t="s">
        <v>180</v>
      </c>
    </row>
    <row r="284" spans="1:9" x14ac:dyDescent="0.2">
      <c r="A284" t="s">
        <v>52</v>
      </c>
      <c r="B284" t="s">
        <v>150</v>
      </c>
      <c r="C284" t="s">
        <v>156</v>
      </c>
      <c r="D284" s="32">
        <v>112</v>
      </c>
      <c r="E284" s="32">
        <v>0</v>
      </c>
      <c r="F284" s="32">
        <v>0</v>
      </c>
      <c r="G284" s="32">
        <v>0</v>
      </c>
      <c r="H284" s="32">
        <v>68944</v>
      </c>
      <c r="I284" s="15" t="s">
        <v>180</v>
      </c>
    </row>
    <row r="285" spans="1:9" x14ac:dyDescent="0.2">
      <c r="A285" t="s">
        <v>34</v>
      </c>
      <c r="B285" t="s">
        <v>152</v>
      </c>
      <c r="C285" t="s">
        <v>156</v>
      </c>
      <c r="D285" s="32">
        <v>1175.6666666666663</v>
      </c>
      <c r="E285" s="32">
        <v>2054</v>
      </c>
      <c r="F285" s="32">
        <v>585887</v>
      </c>
      <c r="G285" s="32">
        <v>0</v>
      </c>
      <c r="H285" s="32">
        <v>925500</v>
      </c>
      <c r="I285" s="15" t="s">
        <v>180</v>
      </c>
    </row>
    <row r="286" spans="1:9" x14ac:dyDescent="0.2">
      <c r="A286" t="s">
        <v>56</v>
      </c>
      <c r="B286" t="s">
        <v>153</v>
      </c>
      <c r="C286" t="s">
        <v>156</v>
      </c>
      <c r="D286" s="32">
        <v>122.26666666666667</v>
      </c>
      <c r="E286" s="32">
        <v>0</v>
      </c>
      <c r="F286" s="32">
        <v>34479</v>
      </c>
      <c r="G286" s="32">
        <v>0</v>
      </c>
      <c r="H286" s="32">
        <v>101276</v>
      </c>
      <c r="I286" s="15" t="s">
        <v>180</v>
      </c>
    </row>
    <row r="287" spans="1:9" x14ac:dyDescent="0.2">
      <c r="A287" t="s">
        <v>20</v>
      </c>
      <c r="B287" t="s">
        <v>153</v>
      </c>
      <c r="C287" t="s">
        <v>156</v>
      </c>
      <c r="D287" s="32">
        <v>760</v>
      </c>
      <c r="E287" s="32">
        <v>0</v>
      </c>
      <c r="F287" s="32">
        <v>310464</v>
      </c>
      <c r="G287" s="32">
        <v>0</v>
      </c>
      <c r="H287" s="32">
        <v>653360</v>
      </c>
      <c r="I287" s="15" t="s">
        <v>180</v>
      </c>
    </row>
    <row r="288" spans="1:9" x14ac:dyDescent="0.2">
      <c r="A288" t="s">
        <v>18</v>
      </c>
      <c r="B288" t="s">
        <v>153</v>
      </c>
      <c r="C288" t="s">
        <v>156</v>
      </c>
      <c r="D288" s="32">
        <v>653.33333333333314</v>
      </c>
      <c r="E288" s="32">
        <v>0</v>
      </c>
      <c r="F288" s="32">
        <v>0</v>
      </c>
      <c r="G288" s="32">
        <v>0</v>
      </c>
      <c r="H288" s="32">
        <v>531234</v>
      </c>
      <c r="I288" s="15" t="s">
        <v>180</v>
      </c>
    </row>
    <row r="289" spans="1:9" x14ac:dyDescent="0.2">
      <c r="A289" t="s">
        <v>171</v>
      </c>
      <c r="B289" t="s">
        <v>154</v>
      </c>
      <c r="C289" t="s">
        <v>156</v>
      </c>
      <c r="D289" s="32">
        <v>3567.6666666666702</v>
      </c>
      <c r="E289" s="32">
        <v>0</v>
      </c>
      <c r="F289" s="32">
        <v>0</v>
      </c>
      <c r="G289" s="32">
        <v>0</v>
      </c>
      <c r="H289" s="32">
        <v>652932</v>
      </c>
      <c r="I289" s="15" t="s">
        <v>180</v>
      </c>
    </row>
    <row r="290" spans="1:9" x14ac:dyDescent="0.2">
      <c r="A290" t="s">
        <v>7</v>
      </c>
      <c r="B290" t="s">
        <v>150</v>
      </c>
      <c r="C290" t="s">
        <v>156</v>
      </c>
      <c r="D290" s="32">
        <v>3298.8999999999933</v>
      </c>
      <c r="E290" s="32">
        <v>0</v>
      </c>
      <c r="F290" s="32">
        <v>0</v>
      </c>
      <c r="G290" s="32">
        <v>0</v>
      </c>
      <c r="H290" s="32">
        <v>2127959</v>
      </c>
      <c r="I290" s="15" t="s">
        <v>180</v>
      </c>
    </row>
    <row r="291" spans="1:9" x14ac:dyDescent="0.2">
      <c r="A291" t="s">
        <v>31</v>
      </c>
      <c r="B291" t="s">
        <v>152</v>
      </c>
      <c r="C291" t="s">
        <v>156</v>
      </c>
      <c r="D291" s="32">
        <v>2219.7333333333331</v>
      </c>
      <c r="E291" s="32">
        <v>0</v>
      </c>
      <c r="F291" s="32">
        <v>1410046</v>
      </c>
      <c r="G291" s="32">
        <v>3228</v>
      </c>
      <c r="H291" s="32">
        <v>1455750</v>
      </c>
      <c r="I291" s="15" t="s">
        <v>180</v>
      </c>
    </row>
    <row r="292" spans="1:9" x14ac:dyDescent="0.2">
      <c r="A292" t="s">
        <v>33</v>
      </c>
      <c r="B292" t="s">
        <v>152</v>
      </c>
      <c r="C292" t="s">
        <v>156</v>
      </c>
      <c r="D292" s="32">
        <v>210.00000000000003</v>
      </c>
      <c r="E292" s="32">
        <v>66</v>
      </c>
      <c r="F292" s="32">
        <v>307953</v>
      </c>
      <c r="G292" s="32">
        <v>58376</v>
      </c>
      <c r="H292" s="32">
        <v>136920</v>
      </c>
      <c r="I292" s="15" t="s">
        <v>180</v>
      </c>
    </row>
    <row r="293" spans="1:9" x14ac:dyDescent="0.2">
      <c r="A293" t="s">
        <v>9</v>
      </c>
      <c r="B293" t="s">
        <v>150</v>
      </c>
      <c r="C293" t="s">
        <v>156</v>
      </c>
      <c r="D293" s="32">
        <v>7054.0333333333265</v>
      </c>
      <c r="E293" s="32">
        <v>18486</v>
      </c>
      <c r="F293" s="32">
        <v>3909596</v>
      </c>
      <c r="G293" s="32">
        <v>0</v>
      </c>
      <c r="H293" s="32">
        <v>4517787</v>
      </c>
      <c r="I293" s="15" t="s">
        <v>180</v>
      </c>
    </row>
    <row r="294" spans="1:9" x14ac:dyDescent="0.2">
      <c r="A294" t="s">
        <v>63</v>
      </c>
      <c r="B294" t="s">
        <v>152</v>
      </c>
      <c r="C294" t="s">
        <v>156</v>
      </c>
      <c r="D294" s="32">
        <v>66.749999999999986</v>
      </c>
      <c r="E294" s="32">
        <v>0</v>
      </c>
      <c r="F294" s="32">
        <v>0</v>
      </c>
      <c r="G294" s="32">
        <v>0</v>
      </c>
      <c r="H294" s="32">
        <v>33696</v>
      </c>
      <c r="I294" s="15" t="s">
        <v>180</v>
      </c>
    </row>
    <row r="295" spans="1:9" x14ac:dyDescent="0.2">
      <c r="A295" t="s">
        <v>111</v>
      </c>
      <c r="B295" t="s">
        <v>154</v>
      </c>
      <c r="C295" t="s">
        <v>156</v>
      </c>
      <c r="D295" s="32">
        <v>362.19999999999993</v>
      </c>
      <c r="E295" s="32">
        <v>0</v>
      </c>
      <c r="F295" s="32">
        <v>0</v>
      </c>
      <c r="G295" s="32">
        <v>0</v>
      </c>
      <c r="H295" s="32">
        <v>284516</v>
      </c>
      <c r="I295" s="15" t="s">
        <v>180</v>
      </c>
    </row>
    <row r="296" spans="1:9" x14ac:dyDescent="0.2">
      <c r="A296" t="s">
        <v>172</v>
      </c>
      <c r="B296" t="s">
        <v>150</v>
      </c>
      <c r="C296" t="s">
        <v>156</v>
      </c>
      <c r="D296" s="32">
        <v>1191.7499999999934</v>
      </c>
      <c r="E296" s="32">
        <v>0</v>
      </c>
      <c r="F296" s="32">
        <v>294103</v>
      </c>
      <c r="G296" s="32">
        <v>0</v>
      </c>
      <c r="H296" s="32">
        <v>651798</v>
      </c>
      <c r="I296" s="15" t="s">
        <v>180</v>
      </c>
    </row>
    <row r="297" spans="1:9" x14ac:dyDescent="0.2">
      <c r="A297" t="s">
        <v>28</v>
      </c>
      <c r="B297" t="s">
        <v>149</v>
      </c>
      <c r="C297" t="s">
        <v>156</v>
      </c>
      <c r="D297" s="32">
        <v>69.166666666666657</v>
      </c>
      <c r="E297" s="32">
        <v>0</v>
      </c>
      <c r="F297" s="32">
        <v>0</v>
      </c>
      <c r="G297" s="32">
        <v>0</v>
      </c>
      <c r="H297" s="32">
        <v>37007</v>
      </c>
      <c r="I297" s="15" t="s">
        <v>180</v>
      </c>
    </row>
    <row r="298" spans="1:9" x14ac:dyDescent="0.2">
      <c r="A298" t="s">
        <v>106</v>
      </c>
      <c r="B298" t="s">
        <v>153</v>
      </c>
      <c r="C298" t="s">
        <v>156</v>
      </c>
      <c r="D298" s="32">
        <v>160.51666666666665</v>
      </c>
      <c r="E298" s="32">
        <v>0</v>
      </c>
      <c r="F298" s="32">
        <v>5210</v>
      </c>
      <c r="G298" s="32">
        <v>0</v>
      </c>
      <c r="H298" s="32">
        <v>127296</v>
      </c>
      <c r="I298" s="15" t="s">
        <v>180</v>
      </c>
    </row>
    <row r="299" spans="1:9" x14ac:dyDescent="0.2">
      <c r="A299" t="s">
        <v>14</v>
      </c>
      <c r="B299" t="s">
        <v>150</v>
      </c>
      <c r="C299" t="s">
        <v>156</v>
      </c>
      <c r="D299" s="32">
        <v>333</v>
      </c>
      <c r="E299" s="32">
        <v>0</v>
      </c>
      <c r="F299" s="32">
        <v>0</v>
      </c>
      <c r="G299" s="32">
        <v>0</v>
      </c>
      <c r="H299" s="32">
        <v>275827</v>
      </c>
      <c r="I299" s="15" t="s">
        <v>180</v>
      </c>
    </row>
    <row r="300" spans="1:9" x14ac:dyDescent="0.2">
      <c r="A300" t="s">
        <v>13</v>
      </c>
      <c r="B300" t="s">
        <v>150</v>
      </c>
      <c r="C300" t="s">
        <v>156</v>
      </c>
      <c r="D300" s="32">
        <v>1318.7666666666655</v>
      </c>
      <c r="E300" s="32">
        <v>0</v>
      </c>
      <c r="F300" s="32">
        <v>1075680</v>
      </c>
      <c r="G300" s="32">
        <v>0</v>
      </c>
      <c r="H300" s="32">
        <v>959130</v>
      </c>
      <c r="I300" s="15" t="s">
        <v>180</v>
      </c>
    </row>
    <row r="301" spans="1:9" x14ac:dyDescent="0.2">
      <c r="A301" t="s">
        <v>60</v>
      </c>
      <c r="B301" t="s">
        <v>150</v>
      </c>
      <c r="C301" t="s">
        <v>156</v>
      </c>
      <c r="D301" s="32">
        <v>141.99999999999994</v>
      </c>
      <c r="E301" s="32">
        <v>0</v>
      </c>
      <c r="F301" s="32">
        <v>74355</v>
      </c>
      <c r="G301" s="32">
        <v>0</v>
      </c>
      <c r="H301" s="32">
        <v>66660</v>
      </c>
      <c r="I301" s="15" t="s">
        <v>180</v>
      </c>
    </row>
    <row r="302" spans="1:9" x14ac:dyDescent="0.2">
      <c r="A302" t="s">
        <v>64</v>
      </c>
      <c r="B302" t="s">
        <v>153</v>
      </c>
      <c r="C302" t="s">
        <v>156</v>
      </c>
      <c r="D302" s="32">
        <v>1260</v>
      </c>
      <c r="E302" s="32">
        <v>8384</v>
      </c>
      <c r="F302" s="32">
        <v>590535</v>
      </c>
      <c r="G302" s="32">
        <v>9320</v>
      </c>
      <c r="H302" s="32">
        <v>1087080</v>
      </c>
      <c r="I302" s="15" t="s">
        <v>180</v>
      </c>
    </row>
    <row r="303" spans="1:9" x14ac:dyDescent="0.2">
      <c r="A303" t="s">
        <v>3</v>
      </c>
      <c r="B303" t="s">
        <v>149</v>
      </c>
      <c r="C303" t="s">
        <v>156</v>
      </c>
      <c r="D303" s="32">
        <v>2569.0333333333319</v>
      </c>
      <c r="E303" s="32">
        <v>0</v>
      </c>
      <c r="F303" s="32">
        <v>832701.8</v>
      </c>
      <c r="G303" s="32">
        <v>0</v>
      </c>
      <c r="H303" s="32">
        <v>1905469</v>
      </c>
      <c r="I303" s="15" t="s">
        <v>180</v>
      </c>
    </row>
    <row r="304" spans="1:9" x14ac:dyDescent="0.2">
      <c r="A304" t="s">
        <v>179</v>
      </c>
      <c r="B304" t="s">
        <v>151</v>
      </c>
      <c r="C304" t="s">
        <v>156</v>
      </c>
      <c r="D304" s="32">
        <v>264.99999999999983</v>
      </c>
      <c r="E304" s="32">
        <v>0</v>
      </c>
      <c r="F304" s="32">
        <v>81879</v>
      </c>
      <c r="G304" s="32">
        <v>255</v>
      </c>
      <c r="H304" s="32">
        <v>217620</v>
      </c>
      <c r="I304" s="15" t="s">
        <v>180</v>
      </c>
    </row>
    <row r="305" spans="1:9" x14ac:dyDescent="0.2">
      <c r="A305" t="s">
        <v>58</v>
      </c>
      <c r="B305" t="s">
        <v>150</v>
      </c>
      <c r="C305" t="s">
        <v>156</v>
      </c>
      <c r="D305" s="32">
        <v>899.71666666666704</v>
      </c>
      <c r="E305" s="32">
        <v>0</v>
      </c>
      <c r="F305" s="32">
        <v>493770</v>
      </c>
      <c r="G305" s="32">
        <v>0</v>
      </c>
      <c r="H305" s="32">
        <v>638355</v>
      </c>
      <c r="I305" s="15" t="s">
        <v>180</v>
      </c>
    </row>
    <row r="306" spans="1:9" x14ac:dyDescent="0.2">
      <c r="A306" t="s">
        <v>35</v>
      </c>
      <c r="B306" t="s">
        <v>153</v>
      </c>
      <c r="C306" t="s">
        <v>156</v>
      </c>
      <c r="D306" s="32">
        <v>600</v>
      </c>
      <c r="E306" s="32">
        <v>31238</v>
      </c>
      <c r="F306" s="32">
        <v>284988</v>
      </c>
      <c r="G306" s="32">
        <v>0</v>
      </c>
      <c r="H306" s="32">
        <v>548730</v>
      </c>
      <c r="I306" s="15" t="s">
        <v>180</v>
      </c>
    </row>
    <row r="307" spans="1:9" x14ac:dyDescent="0.2">
      <c r="A307" t="s">
        <v>32</v>
      </c>
      <c r="B307" t="s">
        <v>152</v>
      </c>
      <c r="C307" t="s">
        <v>156</v>
      </c>
      <c r="D307" s="32">
        <v>126</v>
      </c>
      <c r="E307" s="32">
        <v>0</v>
      </c>
      <c r="F307" s="32">
        <v>86083</v>
      </c>
      <c r="G307" s="32">
        <v>0</v>
      </c>
      <c r="H307" s="32">
        <v>79065</v>
      </c>
      <c r="I307" s="15" t="s">
        <v>180</v>
      </c>
    </row>
    <row r="308" spans="1:9" x14ac:dyDescent="0.2">
      <c r="A308" t="s">
        <v>62</v>
      </c>
      <c r="B308" t="s">
        <v>152</v>
      </c>
      <c r="C308" t="s">
        <v>156</v>
      </c>
      <c r="D308" s="32">
        <v>578</v>
      </c>
      <c r="E308" s="32">
        <v>463</v>
      </c>
      <c r="F308" s="32">
        <v>231391</v>
      </c>
      <c r="G308" s="32">
        <v>63</v>
      </c>
      <c r="H308" s="32">
        <v>445036</v>
      </c>
      <c r="I308" s="15" t="s">
        <v>180</v>
      </c>
    </row>
    <row r="309" spans="1:9" x14ac:dyDescent="0.2">
      <c r="A309" t="s">
        <v>112</v>
      </c>
      <c r="B309" t="s">
        <v>152</v>
      </c>
      <c r="C309" t="s">
        <v>156</v>
      </c>
      <c r="D309" s="32">
        <v>180</v>
      </c>
      <c r="E309" s="32">
        <v>0</v>
      </c>
      <c r="F309" s="32">
        <v>84720</v>
      </c>
      <c r="G309" s="32">
        <v>0</v>
      </c>
      <c r="H309" s="32">
        <v>136320</v>
      </c>
      <c r="I309" s="15" t="s">
        <v>180</v>
      </c>
    </row>
    <row r="310" spans="1:9" x14ac:dyDescent="0.2">
      <c r="A310" t="s">
        <v>19</v>
      </c>
      <c r="B310" t="s">
        <v>152</v>
      </c>
      <c r="C310" t="s">
        <v>156</v>
      </c>
      <c r="D310" s="32">
        <v>792</v>
      </c>
      <c r="E310" s="32">
        <v>0</v>
      </c>
      <c r="F310" s="32">
        <v>422129</v>
      </c>
      <c r="G310" s="32">
        <v>76</v>
      </c>
      <c r="H310" s="32">
        <v>574416</v>
      </c>
      <c r="I310" s="15" t="s">
        <v>180</v>
      </c>
    </row>
    <row r="311" spans="1:9" x14ac:dyDescent="0.2">
      <c r="A311" t="s">
        <v>66</v>
      </c>
      <c r="B311" t="s">
        <v>153</v>
      </c>
      <c r="C311" t="s">
        <v>156</v>
      </c>
      <c r="D311" s="32">
        <v>1000</v>
      </c>
      <c r="E311" s="32">
        <v>13423</v>
      </c>
      <c r="F311" s="32">
        <v>516130</v>
      </c>
      <c r="G311" s="32">
        <v>0</v>
      </c>
      <c r="H311" s="32">
        <v>629134</v>
      </c>
      <c r="I311" s="15" t="s">
        <v>180</v>
      </c>
    </row>
    <row r="312" spans="1:9" x14ac:dyDescent="0.2">
      <c r="A312" t="s">
        <v>99</v>
      </c>
      <c r="B312" t="s">
        <v>153</v>
      </c>
      <c r="C312" t="s">
        <v>156</v>
      </c>
      <c r="D312" s="32">
        <v>425</v>
      </c>
      <c r="E312" s="32">
        <v>0</v>
      </c>
      <c r="F312" s="32">
        <v>0</v>
      </c>
      <c r="G312" s="32">
        <v>0</v>
      </c>
      <c r="H312" s="32">
        <v>324462</v>
      </c>
      <c r="I312" s="15" t="s">
        <v>180</v>
      </c>
    </row>
    <row r="313" spans="1:9" x14ac:dyDescent="0.2">
      <c r="A313" t="s">
        <v>29</v>
      </c>
      <c r="B313" t="s">
        <v>149</v>
      </c>
      <c r="C313" t="s">
        <v>156</v>
      </c>
      <c r="D313" s="32">
        <v>387.0333333333333</v>
      </c>
      <c r="E313" s="32">
        <v>0</v>
      </c>
      <c r="F313" s="32">
        <v>0</v>
      </c>
      <c r="G313" s="32">
        <v>0</v>
      </c>
      <c r="H313" s="32">
        <v>267590</v>
      </c>
      <c r="I313" s="15" t="s">
        <v>180</v>
      </c>
    </row>
    <row r="314" spans="1:9" x14ac:dyDescent="0.2">
      <c r="A314" t="s">
        <v>59</v>
      </c>
      <c r="B314" t="s">
        <v>150</v>
      </c>
      <c r="C314" t="s">
        <v>156</v>
      </c>
      <c r="D314" s="32">
        <v>194.96666666666664</v>
      </c>
      <c r="E314" s="32">
        <v>0</v>
      </c>
      <c r="F314" s="32">
        <v>68005</v>
      </c>
      <c r="G314" s="32">
        <v>0</v>
      </c>
      <c r="H314" s="32">
        <v>122904</v>
      </c>
      <c r="I314" s="15" t="s">
        <v>180</v>
      </c>
    </row>
    <row r="315" spans="1:9" x14ac:dyDescent="0.2">
      <c r="A315" t="s">
        <v>38</v>
      </c>
      <c r="B315" t="s">
        <v>150</v>
      </c>
      <c r="C315" t="s">
        <v>156</v>
      </c>
      <c r="D315" s="32">
        <v>727.41666666666708</v>
      </c>
      <c r="E315" s="32">
        <v>0</v>
      </c>
      <c r="F315" s="32">
        <v>306358</v>
      </c>
      <c r="G315" s="32">
        <v>0</v>
      </c>
      <c r="H315" s="32">
        <v>503653</v>
      </c>
      <c r="I315" s="15" t="s">
        <v>180</v>
      </c>
    </row>
    <row r="316" spans="1:9" x14ac:dyDescent="0.2">
      <c r="A316" t="s">
        <v>48</v>
      </c>
      <c r="B316" t="s">
        <v>153</v>
      </c>
      <c r="C316" t="s">
        <v>156</v>
      </c>
      <c r="D316" s="32">
        <v>321.61666666666656</v>
      </c>
      <c r="E316" s="32">
        <v>0</v>
      </c>
      <c r="F316" s="32">
        <v>124620</v>
      </c>
      <c r="G316" s="32">
        <v>0</v>
      </c>
      <c r="H316" s="32">
        <v>249367</v>
      </c>
      <c r="I316" s="15" t="s">
        <v>180</v>
      </c>
    </row>
    <row r="317" spans="1:9" x14ac:dyDescent="0.2">
      <c r="A317" t="s">
        <v>26</v>
      </c>
      <c r="B317" t="s">
        <v>153</v>
      </c>
      <c r="C317" t="s">
        <v>156</v>
      </c>
      <c r="D317" s="32">
        <v>80.849999999999994</v>
      </c>
      <c r="E317" s="32">
        <v>0</v>
      </c>
      <c r="F317" s="32">
        <v>3895</v>
      </c>
      <c r="G317" s="32">
        <v>0</v>
      </c>
      <c r="H317" s="32">
        <v>63648</v>
      </c>
      <c r="I317" s="15" t="s">
        <v>180</v>
      </c>
    </row>
    <row r="318" spans="1:9" x14ac:dyDescent="0.2">
      <c r="A318" t="s">
        <v>110</v>
      </c>
      <c r="B318" t="s">
        <v>154</v>
      </c>
      <c r="C318" t="s">
        <v>156</v>
      </c>
      <c r="D318" s="32">
        <v>476.08333333333354</v>
      </c>
      <c r="E318" s="32">
        <v>0</v>
      </c>
      <c r="F318" s="32">
        <v>0</v>
      </c>
      <c r="G318" s="32">
        <v>0</v>
      </c>
      <c r="H318" s="32">
        <v>409944</v>
      </c>
      <c r="I318" s="15" t="s">
        <v>180</v>
      </c>
    </row>
    <row r="319" spans="1:9" x14ac:dyDescent="0.2">
      <c r="A319" t="s">
        <v>88</v>
      </c>
      <c r="B319" t="s">
        <v>150</v>
      </c>
      <c r="C319" t="s">
        <v>156</v>
      </c>
      <c r="D319" s="32">
        <v>1885.9333333333323</v>
      </c>
      <c r="E319" s="32">
        <v>0</v>
      </c>
      <c r="F319" s="32">
        <v>0</v>
      </c>
      <c r="G319" s="32">
        <v>0</v>
      </c>
      <c r="H319" s="32">
        <v>1280151</v>
      </c>
      <c r="I319" s="15" t="s">
        <v>180</v>
      </c>
    </row>
    <row r="320" spans="1:9" x14ac:dyDescent="0.2">
      <c r="A320" t="s">
        <v>109</v>
      </c>
      <c r="B320" t="s">
        <v>150</v>
      </c>
      <c r="C320" t="s">
        <v>156</v>
      </c>
      <c r="D320" s="32">
        <v>2403.3666666666672</v>
      </c>
      <c r="E320" s="32">
        <v>0</v>
      </c>
      <c r="F320" s="32">
        <v>1321305</v>
      </c>
      <c r="G320" s="32">
        <v>0</v>
      </c>
      <c r="H320" s="32">
        <v>1530739</v>
      </c>
      <c r="I320" s="15" t="s">
        <v>180</v>
      </c>
    </row>
    <row r="321" spans="1:9" x14ac:dyDescent="0.2">
      <c r="A321" t="s">
        <v>16</v>
      </c>
      <c r="B321" t="s">
        <v>150</v>
      </c>
      <c r="C321" t="s">
        <v>156</v>
      </c>
      <c r="D321" s="32">
        <v>584.70000000000027</v>
      </c>
      <c r="E321" s="32">
        <v>0</v>
      </c>
      <c r="F321" s="32">
        <v>297581</v>
      </c>
      <c r="G321" s="32">
        <v>0</v>
      </c>
      <c r="H321" s="32">
        <v>345748</v>
      </c>
      <c r="I321" s="15" t="s">
        <v>180</v>
      </c>
    </row>
    <row r="322" spans="1:9" x14ac:dyDescent="0.2">
      <c r="A322" t="s">
        <v>69</v>
      </c>
      <c r="B322" t="s">
        <v>151</v>
      </c>
      <c r="C322" t="s">
        <v>156</v>
      </c>
      <c r="D322" s="32">
        <v>1896.0333333333294</v>
      </c>
      <c r="E322" s="32">
        <v>0</v>
      </c>
      <c r="F322" s="32">
        <v>1296740</v>
      </c>
      <c r="G322" s="32">
        <v>0</v>
      </c>
      <c r="H322" s="32">
        <v>1605138</v>
      </c>
      <c r="I322" s="15" t="s">
        <v>180</v>
      </c>
    </row>
    <row r="323" spans="1:9" x14ac:dyDescent="0.2">
      <c r="A323" t="s">
        <v>36</v>
      </c>
      <c r="B323" t="s">
        <v>152</v>
      </c>
      <c r="C323" t="s">
        <v>156</v>
      </c>
      <c r="D323" s="32">
        <v>238</v>
      </c>
      <c r="E323" s="32">
        <v>9708</v>
      </c>
      <c r="F323" s="32">
        <v>135226</v>
      </c>
      <c r="G323" s="32">
        <v>0</v>
      </c>
      <c r="H323" s="32">
        <v>148202</v>
      </c>
      <c r="I323" s="15" t="s">
        <v>180</v>
      </c>
    </row>
    <row r="324" spans="1:9" x14ac:dyDescent="0.2">
      <c r="A324" t="s">
        <v>51</v>
      </c>
      <c r="B324" t="s">
        <v>152</v>
      </c>
      <c r="C324" t="s">
        <v>156</v>
      </c>
      <c r="D324" s="32">
        <v>300</v>
      </c>
      <c r="E324" s="32">
        <v>1845</v>
      </c>
      <c r="F324" s="32">
        <v>107022</v>
      </c>
      <c r="G324" s="32">
        <v>0</v>
      </c>
      <c r="H324" s="32">
        <v>254460</v>
      </c>
      <c r="I324" s="15" t="s">
        <v>180</v>
      </c>
    </row>
    <row r="325" spans="1:9" x14ac:dyDescent="0.2">
      <c r="A325" t="s">
        <v>79</v>
      </c>
      <c r="B325" t="s">
        <v>152</v>
      </c>
      <c r="C325" t="s">
        <v>156</v>
      </c>
      <c r="D325" s="32">
        <v>646</v>
      </c>
      <c r="E325" s="32">
        <v>0</v>
      </c>
      <c r="F325" s="32">
        <v>211897</v>
      </c>
      <c r="G325" s="32">
        <v>30</v>
      </c>
      <c r="H325" s="32">
        <v>498100</v>
      </c>
      <c r="I325" s="15" t="s">
        <v>180</v>
      </c>
    </row>
    <row r="326" spans="1:9" x14ac:dyDescent="0.2">
      <c r="A326" t="s">
        <v>44</v>
      </c>
      <c r="B326" t="s">
        <v>153</v>
      </c>
      <c r="C326" t="s">
        <v>156</v>
      </c>
      <c r="D326" s="32">
        <v>363.75</v>
      </c>
      <c r="E326" s="32">
        <v>0</v>
      </c>
      <c r="F326" s="32">
        <v>135246</v>
      </c>
      <c r="G326" s="32">
        <v>0</v>
      </c>
      <c r="H326" s="32">
        <v>284238</v>
      </c>
      <c r="I326" s="15" t="s">
        <v>180</v>
      </c>
    </row>
    <row r="327" spans="1:9" x14ac:dyDescent="0.2">
      <c r="A327" t="s">
        <v>89</v>
      </c>
      <c r="B327" t="s">
        <v>152</v>
      </c>
      <c r="C327" t="s">
        <v>156</v>
      </c>
      <c r="D327" s="32">
        <v>94</v>
      </c>
      <c r="E327" s="32">
        <v>0</v>
      </c>
      <c r="F327" s="32">
        <v>8842</v>
      </c>
      <c r="G327" s="32">
        <v>0</v>
      </c>
      <c r="H327" s="32">
        <v>38782</v>
      </c>
      <c r="I327" s="15" t="s">
        <v>180</v>
      </c>
    </row>
    <row r="328" spans="1:9" x14ac:dyDescent="0.2">
      <c r="A328" t="s">
        <v>22</v>
      </c>
      <c r="B328" t="s">
        <v>153</v>
      </c>
      <c r="C328" t="s">
        <v>156</v>
      </c>
      <c r="D328" s="32">
        <v>142.13333333333333</v>
      </c>
      <c r="E328" s="32">
        <v>0</v>
      </c>
      <c r="F328" s="32">
        <v>42860</v>
      </c>
      <c r="G328" s="32">
        <v>0</v>
      </c>
      <c r="H328" s="32">
        <v>132920</v>
      </c>
      <c r="I328" s="15" t="s">
        <v>180</v>
      </c>
    </row>
    <row r="329" spans="1:9" x14ac:dyDescent="0.2">
      <c r="A329" t="s">
        <v>21</v>
      </c>
      <c r="B329" t="s">
        <v>153</v>
      </c>
      <c r="C329" t="s">
        <v>156</v>
      </c>
      <c r="D329" s="32">
        <v>279.2833333333333</v>
      </c>
      <c r="E329" s="32">
        <v>0</v>
      </c>
      <c r="F329" s="32">
        <v>78140</v>
      </c>
      <c r="G329" s="32">
        <v>0</v>
      </c>
      <c r="H329" s="32">
        <v>215176</v>
      </c>
      <c r="I329" s="15" t="s">
        <v>180</v>
      </c>
    </row>
    <row r="330" spans="1:9" x14ac:dyDescent="0.2">
      <c r="A330" t="s">
        <v>90</v>
      </c>
      <c r="B330" t="s">
        <v>150</v>
      </c>
      <c r="C330" t="s">
        <v>156</v>
      </c>
      <c r="D330" s="32">
        <v>8532.1999999999971</v>
      </c>
      <c r="E330" s="32">
        <v>1789</v>
      </c>
      <c r="F330" s="32">
        <v>4043172</v>
      </c>
      <c r="G330" s="32">
        <v>0</v>
      </c>
      <c r="H330" s="32">
        <v>6279276</v>
      </c>
      <c r="I330" s="15" t="s">
        <v>180</v>
      </c>
    </row>
    <row r="331" spans="1:9" x14ac:dyDescent="0.2">
      <c r="A331" t="s">
        <v>15</v>
      </c>
      <c r="B331" t="s">
        <v>150</v>
      </c>
      <c r="C331" t="s">
        <v>156</v>
      </c>
      <c r="D331" s="32">
        <v>306</v>
      </c>
      <c r="E331" s="32">
        <v>0</v>
      </c>
      <c r="F331" s="32">
        <v>0</v>
      </c>
      <c r="G331" s="32">
        <v>0</v>
      </c>
      <c r="H331" s="32">
        <v>217910</v>
      </c>
      <c r="I331" s="15" t="s">
        <v>180</v>
      </c>
    </row>
    <row r="332" spans="1:9" x14ac:dyDescent="0.2">
      <c r="A332" t="s">
        <v>30</v>
      </c>
      <c r="B332" t="s">
        <v>150</v>
      </c>
      <c r="C332" t="s">
        <v>156</v>
      </c>
      <c r="D332" s="32">
        <v>3634.016666666666</v>
      </c>
      <c r="E332" s="32">
        <v>0</v>
      </c>
      <c r="F332" s="32">
        <v>1635435</v>
      </c>
      <c r="G332" s="32">
        <v>0</v>
      </c>
      <c r="H332" s="32">
        <v>2224499</v>
      </c>
      <c r="I332" s="15" t="s">
        <v>180</v>
      </c>
    </row>
    <row r="333" spans="1:9" x14ac:dyDescent="0.2">
      <c r="A333" t="s">
        <v>73</v>
      </c>
      <c r="B333" t="s">
        <v>150</v>
      </c>
      <c r="C333" t="s">
        <v>156</v>
      </c>
      <c r="D333" s="32">
        <v>454.68333333333294</v>
      </c>
      <c r="E333" s="32">
        <v>0</v>
      </c>
      <c r="F333" s="32">
        <v>297700</v>
      </c>
      <c r="G333" s="32">
        <v>0</v>
      </c>
      <c r="H333" s="32">
        <v>333802</v>
      </c>
      <c r="I333" s="15" t="s">
        <v>180</v>
      </c>
    </row>
    <row r="334" spans="1:9" x14ac:dyDescent="0.2">
      <c r="A334" t="s">
        <v>81</v>
      </c>
      <c r="B334" t="s">
        <v>153</v>
      </c>
      <c r="C334" t="s">
        <v>156</v>
      </c>
      <c r="D334" s="32">
        <v>247</v>
      </c>
      <c r="E334" s="32">
        <v>0</v>
      </c>
      <c r="F334" s="32">
        <v>188216</v>
      </c>
      <c r="G334" s="32">
        <v>0</v>
      </c>
      <c r="H334" s="32">
        <v>207610</v>
      </c>
      <c r="I334" s="15" t="s">
        <v>180</v>
      </c>
    </row>
    <row r="335" spans="1:9" x14ac:dyDescent="0.2">
      <c r="A335" t="s">
        <v>5</v>
      </c>
      <c r="B335" t="s">
        <v>149</v>
      </c>
      <c r="C335" t="s">
        <v>156</v>
      </c>
      <c r="D335" s="32">
        <v>150.95000000000016</v>
      </c>
      <c r="E335" s="32">
        <v>0</v>
      </c>
      <c r="F335" s="32">
        <v>188963</v>
      </c>
      <c r="G335" s="32">
        <v>0</v>
      </c>
      <c r="H335" s="32">
        <v>217070</v>
      </c>
      <c r="I335" s="15" t="s">
        <v>180</v>
      </c>
    </row>
    <row r="336" spans="1:9" x14ac:dyDescent="0.2">
      <c r="A336" t="s">
        <v>50</v>
      </c>
      <c r="B336" t="s">
        <v>149</v>
      </c>
      <c r="C336" t="s">
        <v>156</v>
      </c>
      <c r="D336" s="32">
        <v>4140.9833333333381</v>
      </c>
      <c r="E336" s="32">
        <v>0</v>
      </c>
      <c r="F336" s="32">
        <v>0</v>
      </c>
      <c r="G336" s="32">
        <v>0</v>
      </c>
      <c r="H336" s="32">
        <v>3077472</v>
      </c>
      <c r="I336" s="15" t="s">
        <v>180</v>
      </c>
    </row>
    <row r="337" spans="1:9" x14ac:dyDescent="0.2">
      <c r="A337" t="s">
        <v>37</v>
      </c>
      <c r="B337" t="s">
        <v>151</v>
      </c>
      <c r="C337" t="s">
        <v>156</v>
      </c>
      <c r="D337" s="32">
        <v>3850.1333333333509</v>
      </c>
      <c r="E337" s="32">
        <v>0</v>
      </c>
      <c r="F337" s="32">
        <v>1877619</v>
      </c>
      <c r="G337" s="32">
        <v>0</v>
      </c>
      <c r="H337" s="32">
        <v>3315399</v>
      </c>
      <c r="I337" s="15" t="s">
        <v>180</v>
      </c>
    </row>
    <row r="338" spans="1:9" x14ac:dyDescent="0.2">
      <c r="A338" t="s">
        <v>41</v>
      </c>
      <c r="B338" t="s">
        <v>153</v>
      </c>
      <c r="C338" t="s">
        <v>156</v>
      </c>
      <c r="D338" s="32">
        <v>286.39999999999998</v>
      </c>
      <c r="E338" s="32">
        <v>0</v>
      </c>
      <c r="F338" s="32">
        <v>147474</v>
      </c>
      <c r="G338" s="32">
        <v>0</v>
      </c>
      <c r="H338" s="32">
        <v>232932</v>
      </c>
      <c r="I338" s="15" t="s">
        <v>180</v>
      </c>
    </row>
    <row r="339" spans="1:9" x14ac:dyDescent="0.2">
      <c r="A339" t="s">
        <v>108</v>
      </c>
      <c r="B339" t="s">
        <v>149</v>
      </c>
      <c r="C339" s="15" t="s">
        <v>155</v>
      </c>
      <c r="D339" s="32">
        <v>229.86666666666665</v>
      </c>
      <c r="E339" s="32">
        <v>390</v>
      </c>
      <c r="F339" s="32">
        <v>57464</v>
      </c>
      <c r="G339" s="32">
        <v>922</v>
      </c>
      <c r="H339" s="32">
        <v>92942</v>
      </c>
      <c r="I339" s="15" t="s">
        <v>186</v>
      </c>
    </row>
    <row r="340" spans="1:9" x14ac:dyDescent="0.2">
      <c r="A340" t="s">
        <v>4</v>
      </c>
      <c r="B340" t="s">
        <v>149</v>
      </c>
      <c r="C340" s="15" t="s">
        <v>155</v>
      </c>
      <c r="D340" s="32">
        <v>2817.1666666666665</v>
      </c>
      <c r="E340" s="32">
        <v>0</v>
      </c>
      <c r="F340" s="32">
        <v>339228</v>
      </c>
      <c r="G340" s="32">
        <v>0</v>
      </c>
      <c r="H340" s="32">
        <v>1015350</v>
      </c>
      <c r="I340" s="15" t="s">
        <v>186</v>
      </c>
    </row>
    <row r="341" spans="1:9" x14ac:dyDescent="0.2">
      <c r="A341" t="s">
        <v>2</v>
      </c>
      <c r="B341" t="s">
        <v>149</v>
      </c>
      <c r="C341" s="15" t="s">
        <v>155</v>
      </c>
      <c r="D341" s="32">
        <v>9735.6000000000131</v>
      </c>
      <c r="E341" s="32">
        <v>2733</v>
      </c>
      <c r="F341" s="32">
        <v>4595501</v>
      </c>
      <c r="G341" s="32">
        <v>0</v>
      </c>
      <c r="H341" s="32">
        <v>4725510</v>
      </c>
      <c r="I341" s="15" t="s">
        <v>186</v>
      </c>
    </row>
    <row r="342" spans="1:9" x14ac:dyDescent="0.2">
      <c r="A342" t="s">
        <v>1</v>
      </c>
      <c r="B342" t="s">
        <v>149</v>
      </c>
      <c r="C342" s="15" t="s">
        <v>155</v>
      </c>
      <c r="D342" s="32">
        <v>15763.016666666621</v>
      </c>
      <c r="E342" s="32">
        <v>133.39830000000001</v>
      </c>
      <c r="F342" s="32">
        <v>4896149.2058999976</v>
      </c>
      <c r="G342" s="32">
        <v>0</v>
      </c>
      <c r="H342" s="32">
        <v>6849471</v>
      </c>
      <c r="I342" s="15" t="s">
        <v>186</v>
      </c>
    </row>
    <row r="343" spans="1:9" x14ac:dyDescent="0.2">
      <c r="A343" t="s">
        <v>57</v>
      </c>
      <c r="B343" t="s">
        <v>149</v>
      </c>
      <c r="C343" s="15" t="s">
        <v>155</v>
      </c>
      <c r="D343" s="32">
        <v>79.349999999999994</v>
      </c>
      <c r="E343" s="32">
        <v>0</v>
      </c>
      <c r="F343" s="32">
        <v>0</v>
      </c>
      <c r="G343" s="32">
        <v>0</v>
      </c>
      <c r="H343" s="32">
        <v>31977</v>
      </c>
      <c r="I343" s="15" t="s">
        <v>186</v>
      </c>
    </row>
    <row r="344" spans="1:9" x14ac:dyDescent="0.2">
      <c r="A344" t="s">
        <v>28</v>
      </c>
      <c r="B344" t="s">
        <v>149</v>
      </c>
      <c r="C344" s="15" t="s">
        <v>155</v>
      </c>
      <c r="D344" s="32">
        <v>622.1666666666664</v>
      </c>
      <c r="E344" s="32">
        <v>0</v>
      </c>
      <c r="F344" s="32">
        <v>0</v>
      </c>
      <c r="G344" s="32">
        <v>0</v>
      </c>
      <c r="H344" s="32">
        <v>292667</v>
      </c>
      <c r="I344" s="15" t="s">
        <v>186</v>
      </c>
    </row>
    <row r="345" spans="1:9" x14ac:dyDescent="0.2">
      <c r="A345" t="s">
        <v>3</v>
      </c>
      <c r="B345" t="s">
        <v>149</v>
      </c>
      <c r="C345" s="15" t="s">
        <v>155</v>
      </c>
      <c r="D345" s="32">
        <v>9562.9</v>
      </c>
      <c r="E345" s="32">
        <v>0</v>
      </c>
      <c r="F345" s="32">
        <v>6366291.4000000004</v>
      </c>
      <c r="G345" s="32">
        <v>0</v>
      </c>
      <c r="H345" s="32">
        <v>6194187</v>
      </c>
      <c r="I345" s="15" t="s">
        <v>186</v>
      </c>
    </row>
    <row r="346" spans="1:9" x14ac:dyDescent="0.2">
      <c r="A346" t="s">
        <v>6</v>
      </c>
      <c r="B346" t="s">
        <v>149</v>
      </c>
      <c r="C346" s="15" t="s">
        <v>155</v>
      </c>
      <c r="D346" s="32">
        <v>1681.5000000000002</v>
      </c>
      <c r="E346" s="32">
        <v>0</v>
      </c>
      <c r="F346" s="32">
        <v>0</v>
      </c>
      <c r="G346" s="32">
        <v>0</v>
      </c>
      <c r="H346" s="32">
        <v>1059058</v>
      </c>
      <c r="I346" s="15" t="s">
        <v>186</v>
      </c>
    </row>
    <row r="347" spans="1:9" x14ac:dyDescent="0.2">
      <c r="A347" t="s">
        <v>29</v>
      </c>
      <c r="B347" t="s">
        <v>149</v>
      </c>
      <c r="C347" s="15" t="s">
        <v>155</v>
      </c>
      <c r="D347" s="32">
        <v>33.433333333333337</v>
      </c>
      <c r="E347" s="32">
        <v>0</v>
      </c>
      <c r="F347" s="32">
        <v>0</v>
      </c>
      <c r="G347" s="32">
        <v>0</v>
      </c>
      <c r="H347" s="32">
        <v>13311</v>
      </c>
      <c r="I347" s="15" t="s">
        <v>186</v>
      </c>
    </row>
    <row r="348" spans="1:9" x14ac:dyDescent="0.2">
      <c r="A348" t="s">
        <v>170</v>
      </c>
      <c r="B348" t="s">
        <v>149</v>
      </c>
      <c r="C348" s="15" t="s">
        <v>155</v>
      </c>
      <c r="D348" s="32">
        <v>659.15000000000009</v>
      </c>
      <c r="E348" s="32">
        <v>0</v>
      </c>
      <c r="F348" s="32">
        <v>175337</v>
      </c>
      <c r="G348" s="32">
        <v>0</v>
      </c>
      <c r="H348" s="32">
        <v>277860</v>
      </c>
      <c r="I348" s="15" t="s">
        <v>186</v>
      </c>
    </row>
    <row r="349" spans="1:9" x14ac:dyDescent="0.2">
      <c r="A349" t="s">
        <v>5</v>
      </c>
      <c r="B349" t="s">
        <v>149</v>
      </c>
      <c r="C349" s="15" t="s">
        <v>155</v>
      </c>
      <c r="D349" s="32">
        <v>1165.033333333331</v>
      </c>
      <c r="E349" s="32">
        <v>0</v>
      </c>
      <c r="F349" s="32">
        <v>2467046</v>
      </c>
      <c r="G349" s="32">
        <v>0</v>
      </c>
      <c r="H349" s="32">
        <v>2361267</v>
      </c>
      <c r="I349" s="15" t="s">
        <v>186</v>
      </c>
    </row>
    <row r="350" spans="1:9" x14ac:dyDescent="0.2">
      <c r="A350" t="s">
        <v>50</v>
      </c>
      <c r="B350" t="s">
        <v>149</v>
      </c>
      <c r="C350" s="15" t="s">
        <v>155</v>
      </c>
      <c r="D350" s="32">
        <v>10769.450000000004</v>
      </c>
      <c r="E350" s="32">
        <v>0</v>
      </c>
      <c r="F350" s="32">
        <v>0</v>
      </c>
      <c r="G350" s="32">
        <v>0</v>
      </c>
      <c r="H350" s="32">
        <v>7632643</v>
      </c>
      <c r="I350" s="15" t="s">
        <v>186</v>
      </c>
    </row>
    <row r="351" spans="1:9" x14ac:dyDescent="0.2">
      <c r="A351" t="s">
        <v>61</v>
      </c>
      <c r="B351" t="s">
        <v>150</v>
      </c>
      <c r="C351" t="s">
        <v>156</v>
      </c>
      <c r="D351" s="32">
        <v>161.83333333333334</v>
      </c>
      <c r="E351" s="32">
        <v>0</v>
      </c>
      <c r="F351" s="32">
        <v>0</v>
      </c>
      <c r="G351" s="32">
        <v>0</v>
      </c>
      <c r="H351" s="32">
        <v>215745</v>
      </c>
      <c r="I351" s="15" t="s">
        <v>186</v>
      </c>
    </row>
    <row r="352" spans="1:9" x14ac:dyDescent="0.2">
      <c r="A352" t="s">
        <v>147</v>
      </c>
      <c r="B352" t="s">
        <v>152</v>
      </c>
      <c r="C352" t="s">
        <v>156</v>
      </c>
      <c r="D352" s="32">
        <v>382.16666666666657</v>
      </c>
      <c r="E352" s="32">
        <v>0</v>
      </c>
      <c r="F352" s="32">
        <v>180786</v>
      </c>
      <c r="G352" s="32">
        <v>0</v>
      </c>
      <c r="H352" s="32">
        <v>301510</v>
      </c>
      <c r="I352" s="15" t="s">
        <v>186</v>
      </c>
    </row>
    <row r="353" spans="1:9" x14ac:dyDescent="0.2">
      <c r="A353" t="s">
        <v>4</v>
      </c>
      <c r="B353" t="s">
        <v>149</v>
      </c>
      <c r="C353" t="s">
        <v>156</v>
      </c>
      <c r="D353" s="32">
        <v>60</v>
      </c>
      <c r="E353" s="32">
        <v>0</v>
      </c>
      <c r="F353" s="32">
        <v>9805</v>
      </c>
      <c r="G353" s="32">
        <v>0</v>
      </c>
      <c r="H353" s="32">
        <v>27036</v>
      </c>
      <c r="I353" s="15" t="s">
        <v>186</v>
      </c>
    </row>
    <row r="354" spans="1:9" x14ac:dyDescent="0.2">
      <c r="A354" t="s">
        <v>2</v>
      </c>
      <c r="B354" t="s">
        <v>149</v>
      </c>
      <c r="C354" t="s">
        <v>156</v>
      </c>
      <c r="D354" s="32">
        <v>17143.883333333346</v>
      </c>
      <c r="E354" s="32">
        <v>21945</v>
      </c>
      <c r="F354" s="32">
        <v>6892963</v>
      </c>
      <c r="G354" s="32">
        <v>0</v>
      </c>
      <c r="H354" s="32">
        <v>11735328</v>
      </c>
      <c r="I354" s="15" t="s">
        <v>186</v>
      </c>
    </row>
    <row r="355" spans="1:9" x14ac:dyDescent="0.2">
      <c r="A355" t="s">
        <v>1</v>
      </c>
      <c r="B355" t="s">
        <v>149</v>
      </c>
      <c r="C355" t="s">
        <v>156</v>
      </c>
      <c r="D355" s="32">
        <v>3256.4833333333313</v>
      </c>
      <c r="E355" s="32">
        <v>51.255899999999997</v>
      </c>
      <c r="F355" s="32">
        <v>1075263.9284999999</v>
      </c>
      <c r="G355" s="32">
        <v>0</v>
      </c>
      <c r="H355" s="32">
        <v>1688479</v>
      </c>
      <c r="I355" s="15" t="s">
        <v>186</v>
      </c>
    </row>
    <row r="356" spans="1:9" x14ac:dyDescent="0.2">
      <c r="A356" t="s">
        <v>76</v>
      </c>
      <c r="B356" t="s">
        <v>152</v>
      </c>
      <c r="C356" t="s">
        <v>156</v>
      </c>
      <c r="D356" s="32">
        <v>459.83333333333405</v>
      </c>
      <c r="E356" s="32">
        <v>0</v>
      </c>
      <c r="F356" s="32">
        <v>164904</v>
      </c>
      <c r="G356" s="32">
        <v>306</v>
      </c>
      <c r="H356" s="32">
        <v>365738</v>
      </c>
      <c r="I356" s="15" t="s">
        <v>186</v>
      </c>
    </row>
    <row r="357" spans="1:9" x14ac:dyDescent="0.2">
      <c r="A357" t="s">
        <v>57</v>
      </c>
      <c r="B357" t="s">
        <v>149</v>
      </c>
      <c r="C357" t="s">
        <v>156</v>
      </c>
      <c r="D357" s="32">
        <v>502.49999999999994</v>
      </c>
      <c r="E357" s="32">
        <v>0</v>
      </c>
      <c r="F357" s="32">
        <v>0</v>
      </c>
      <c r="G357" s="32">
        <v>0</v>
      </c>
      <c r="H357" s="32">
        <v>362773</v>
      </c>
      <c r="I357" s="15" t="s">
        <v>186</v>
      </c>
    </row>
    <row r="358" spans="1:9" x14ac:dyDescent="0.2">
      <c r="A358" t="s">
        <v>67</v>
      </c>
      <c r="B358" t="s">
        <v>153</v>
      </c>
      <c r="C358" t="s">
        <v>156</v>
      </c>
      <c r="D358" s="32">
        <v>175.5</v>
      </c>
      <c r="E358" s="32">
        <v>0</v>
      </c>
      <c r="F358" s="32">
        <v>100023</v>
      </c>
      <c r="G358" s="32">
        <v>0</v>
      </c>
      <c r="H358" s="32">
        <v>151866</v>
      </c>
      <c r="I358" s="15" t="s">
        <v>186</v>
      </c>
    </row>
    <row r="359" spans="1:9" x14ac:dyDescent="0.2">
      <c r="A359" t="s">
        <v>12</v>
      </c>
      <c r="B359" t="s">
        <v>151</v>
      </c>
      <c r="C359" t="s">
        <v>156</v>
      </c>
      <c r="D359" s="32">
        <v>1615.2166666666701</v>
      </c>
      <c r="E359" s="32">
        <v>47131</v>
      </c>
      <c r="F359" s="32">
        <v>809833</v>
      </c>
      <c r="G359" s="32">
        <v>0</v>
      </c>
      <c r="H359" s="32">
        <v>1118255</v>
      </c>
      <c r="I359" s="15" t="s">
        <v>186</v>
      </c>
    </row>
    <row r="360" spans="1:9" x14ac:dyDescent="0.2">
      <c r="A360" t="s">
        <v>39</v>
      </c>
      <c r="B360" t="s">
        <v>153</v>
      </c>
      <c r="C360" t="s">
        <v>156</v>
      </c>
      <c r="D360" s="32">
        <v>280.64999999999998</v>
      </c>
      <c r="E360" s="32">
        <v>0</v>
      </c>
      <c r="F360" s="32">
        <v>9390</v>
      </c>
      <c r="G360" s="32">
        <v>0</v>
      </c>
      <c r="H360" s="32">
        <v>222768</v>
      </c>
      <c r="I360" s="15" t="s">
        <v>186</v>
      </c>
    </row>
    <row r="361" spans="1:9" x14ac:dyDescent="0.2">
      <c r="A361" t="s">
        <v>65</v>
      </c>
      <c r="B361" t="s">
        <v>153</v>
      </c>
      <c r="C361" t="s">
        <v>156</v>
      </c>
      <c r="D361" s="32">
        <v>868</v>
      </c>
      <c r="E361" s="32">
        <v>15728</v>
      </c>
      <c r="F361" s="32">
        <v>382913</v>
      </c>
      <c r="G361" s="32">
        <v>0</v>
      </c>
      <c r="H361" s="32">
        <v>789119</v>
      </c>
      <c r="I361" s="15" t="s">
        <v>186</v>
      </c>
    </row>
    <row r="362" spans="1:9" x14ac:dyDescent="0.2">
      <c r="A362" t="s">
        <v>68</v>
      </c>
      <c r="B362" t="s">
        <v>151</v>
      </c>
      <c r="C362" t="s">
        <v>156</v>
      </c>
      <c r="D362" s="32">
        <v>215.55</v>
      </c>
      <c r="E362" s="32">
        <v>0</v>
      </c>
      <c r="F362" s="32">
        <v>276756</v>
      </c>
      <c r="G362" s="32">
        <v>0</v>
      </c>
      <c r="H362" s="32">
        <v>183681</v>
      </c>
      <c r="I362" s="15" t="s">
        <v>186</v>
      </c>
    </row>
    <row r="363" spans="1:9" x14ac:dyDescent="0.2">
      <c r="A363" t="s">
        <v>10</v>
      </c>
      <c r="B363" t="s">
        <v>150</v>
      </c>
      <c r="C363" t="s">
        <v>156</v>
      </c>
      <c r="D363" s="32">
        <v>3569.366666666665</v>
      </c>
      <c r="E363" s="32">
        <v>9829</v>
      </c>
      <c r="F363" s="32">
        <v>18440687</v>
      </c>
      <c r="G363" s="32">
        <v>0</v>
      </c>
      <c r="H363" s="32">
        <v>1484276</v>
      </c>
      <c r="I363" s="15" t="s">
        <v>186</v>
      </c>
    </row>
    <row r="364" spans="1:9" x14ac:dyDescent="0.2">
      <c r="A364" t="s">
        <v>8</v>
      </c>
      <c r="B364" t="s">
        <v>150</v>
      </c>
      <c r="C364" t="s">
        <v>156</v>
      </c>
      <c r="D364" s="32">
        <v>6307.583333333273</v>
      </c>
      <c r="E364" s="32">
        <v>112363</v>
      </c>
      <c r="F364" s="32">
        <v>3261854</v>
      </c>
      <c r="G364" s="32">
        <v>0</v>
      </c>
      <c r="H364" s="32">
        <v>3718264</v>
      </c>
      <c r="I364" s="15" t="s">
        <v>186</v>
      </c>
    </row>
    <row r="365" spans="1:9" x14ac:dyDescent="0.2">
      <c r="A365" t="s">
        <v>17</v>
      </c>
      <c r="B365" t="s">
        <v>150</v>
      </c>
      <c r="C365" t="s">
        <v>156</v>
      </c>
      <c r="D365" s="32">
        <v>118.66666666666667</v>
      </c>
      <c r="E365" s="32">
        <v>0</v>
      </c>
      <c r="F365" s="32">
        <v>0</v>
      </c>
      <c r="G365" s="32">
        <v>0</v>
      </c>
      <c r="H365" s="32">
        <v>83268</v>
      </c>
      <c r="I365" s="15" t="s">
        <v>186</v>
      </c>
    </row>
    <row r="366" spans="1:9" x14ac:dyDescent="0.2">
      <c r="A366" t="s">
        <v>52</v>
      </c>
      <c r="B366" t="s">
        <v>150</v>
      </c>
      <c r="C366" t="s">
        <v>156</v>
      </c>
      <c r="D366" s="32">
        <v>126</v>
      </c>
      <c r="E366" s="32">
        <v>0</v>
      </c>
      <c r="F366" s="32">
        <v>0</v>
      </c>
      <c r="G366" s="32">
        <v>0</v>
      </c>
      <c r="H366" s="32">
        <v>77562</v>
      </c>
      <c r="I366" s="15" t="s">
        <v>186</v>
      </c>
    </row>
    <row r="367" spans="1:9" x14ac:dyDescent="0.2">
      <c r="A367" t="s">
        <v>34</v>
      </c>
      <c r="B367" t="s">
        <v>152</v>
      </c>
      <c r="C367" t="s">
        <v>156</v>
      </c>
      <c r="D367" s="32">
        <v>1203.1666666666672</v>
      </c>
      <c r="E367" s="32">
        <v>3078</v>
      </c>
      <c r="F367" s="32">
        <v>621443</v>
      </c>
      <c r="G367" s="32">
        <v>0</v>
      </c>
      <c r="H367" s="32">
        <v>956350</v>
      </c>
      <c r="I367" s="15" t="s">
        <v>186</v>
      </c>
    </row>
    <row r="368" spans="1:9" x14ac:dyDescent="0.2">
      <c r="A368" t="s">
        <v>56</v>
      </c>
      <c r="B368" t="s">
        <v>153</v>
      </c>
      <c r="C368" t="s">
        <v>156</v>
      </c>
      <c r="D368" s="32">
        <v>154.88333333333333</v>
      </c>
      <c r="E368" s="32">
        <v>0</v>
      </c>
      <c r="F368" s="32">
        <v>53709</v>
      </c>
      <c r="G368" s="32">
        <v>0</v>
      </c>
      <c r="H368" s="32">
        <v>129452</v>
      </c>
      <c r="I368" s="15" t="s">
        <v>186</v>
      </c>
    </row>
    <row r="369" spans="1:9" x14ac:dyDescent="0.2">
      <c r="A369" t="s">
        <v>20</v>
      </c>
      <c r="B369" t="s">
        <v>153</v>
      </c>
      <c r="C369" t="s">
        <v>156</v>
      </c>
      <c r="D369" s="32">
        <v>800</v>
      </c>
      <c r="E369" s="32">
        <v>0</v>
      </c>
      <c r="F369" s="32">
        <v>339090</v>
      </c>
      <c r="G369" s="32">
        <v>0</v>
      </c>
      <c r="H369" s="32">
        <v>689020</v>
      </c>
      <c r="I369" s="15" t="s">
        <v>186</v>
      </c>
    </row>
    <row r="370" spans="1:9" x14ac:dyDescent="0.2">
      <c r="A370" t="s">
        <v>18</v>
      </c>
      <c r="B370" t="s">
        <v>153</v>
      </c>
      <c r="C370" t="s">
        <v>156</v>
      </c>
      <c r="D370" s="32">
        <v>688.33333333333303</v>
      </c>
      <c r="E370" s="32">
        <v>0</v>
      </c>
      <c r="F370" s="32">
        <v>0</v>
      </c>
      <c r="G370" s="32">
        <v>0</v>
      </c>
      <c r="H370" s="32">
        <v>559530</v>
      </c>
      <c r="I370" s="15" t="s">
        <v>186</v>
      </c>
    </row>
    <row r="371" spans="1:9" x14ac:dyDescent="0.2">
      <c r="A371" t="s">
        <v>148</v>
      </c>
      <c r="B371" t="s">
        <v>154</v>
      </c>
      <c r="C371" t="s">
        <v>156</v>
      </c>
      <c r="D371" s="32">
        <v>3906.2333333333354</v>
      </c>
      <c r="E371" s="32">
        <v>0</v>
      </c>
      <c r="F371" s="32">
        <v>0</v>
      </c>
      <c r="G371" s="32">
        <v>0</v>
      </c>
      <c r="H371" s="32">
        <v>715116</v>
      </c>
      <c r="I371" s="15" t="s">
        <v>186</v>
      </c>
    </row>
    <row r="372" spans="1:9" x14ac:dyDescent="0.2">
      <c r="A372" t="s">
        <v>7</v>
      </c>
      <c r="B372" t="s">
        <v>150</v>
      </c>
      <c r="C372" t="s">
        <v>156</v>
      </c>
      <c r="D372" s="32">
        <v>2995.4500000000012</v>
      </c>
      <c r="E372" s="32">
        <v>0</v>
      </c>
      <c r="F372" s="32">
        <v>0</v>
      </c>
      <c r="G372" s="32">
        <v>0</v>
      </c>
      <c r="H372" s="32">
        <v>1952367</v>
      </c>
      <c r="I372" s="15" t="s">
        <v>186</v>
      </c>
    </row>
    <row r="373" spans="1:9" x14ac:dyDescent="0.2">
      <c r="A373" t="s">
        <v>31</v>
      </c>
      <c r="B373" t="s">
        <v>152</v>
      </c>
      <c r="C373" t="s">
        <v>156</v>
      </c>
      <c r="D373" s="32">
        <v>2237.2666666666801</v>
      </c>
      <c r="E373" s="32">
        <v>132</v>
      </c>
      <c r="F373" s="32">
        <v>1398841</v>
      </c>
      <c r="G373" s="32">
        <v>2733</v>
      </c>
      <c r="H373" s="32">
        <v>1467765</v>
      </c>
      <c r="I373" s="15" t="s">
        <v>186</v>
      </c>
    </row>
    <row r="374" spans="1:9" x14ac:dyDescent="0.2">
      <c r="A374" t="s">
        <v>33</v>
      </c>
      <c r="B374" t="s">
        <v>152</v>
      </c>
      <c r="C374" t="s">
        <v>156</v>
      </c>
      <c r="D374" s="32">
        <v>201.5</v>
      </c>
      <c r="E374" s="32">
        <v>66</v>
      </c>
      <c r="F374" s="32">
        <v>309614</v>
      </c>
      <c r="G374" s="32">
        <v>50326</v>
      </c>
      <c r="H374" s="32">
        <v>130846</v>
      </c>
      <c r="I374" s="15" t="s">
        <v>186</v>
      </c>
    </row>
    <row r="375" spans="1:9" x14ac:dyDescent="0.2">
      <c r="A375" t="s">
        <v>9</v>
      </c>
      <c r="B375" t="s">
        <v>150</v>
      </c>
      <c r="C375" t="s">
        <v>156</v>
      </c>
      <c r="D375" s="32">
        <v>5704.0333333333374</v>
      </c>
      <c r="E375" s="32">
        <v>19489</v>
      </c>
      <c r="F375" s="32">
        <v>3422428</v>
      </c>
      <c r="G375" s="32">
        <v>0</v>
      </c>
      <c r="H375" s="32">
        <v>3680868</v>
      </c>
      <c r="I375" s="15" t="s">
        <v>186</v>
      </c>
    </row>
    <row r="376" spans="1:9" x14ac:dyDescent="0.2">
      <c r="A376" t="s">
        <v>63</v>
      </c>
      <c r="B376" t="s">
        <v>152</v>
      </c>
      <c r="C376" t="s">
        <v>156</v>
      </c>
      <c r="D376" s="32">
        <v>77</v>
      </c>
      <c r="E376" s="32">
        <v>0</v>
      </c>
      <c r="F376" s="32">
        <v>0</v>
      </c>
      <c r="G376" s="32">
        <v>0</v>
      </c>
      <c r="H376" s="32">
        <v>40014</v>
      </c>
      <c r="I376" s="15" t="s">
        <v>186</v>
      </c>
    </row>
    <row r="377" spans="1:9" x14ac:dyDescent="0.2">
      <c r="A377" t="s">
        <v>111</v>
      </c>
      <c r="B377" t="s">
        <v>154</v>
      </c>
      <c r="C377" t="s">
        <v>156</v>
      </c>
      <c r="D377" s="32">
        <v>495.94999999999987</v>
      </c>
      <c r="E377" s="32">
        <v>0</v>
      </c>
      <c r="F377" s="32">
        <v>0</v>
      </c>
      <c r="G377" s="32">
        <v>0</v>
      </c>
      <c r="H377" s="32">
        <v>389517</v>
      </c>
      <c r="I377" s="15" t="s">
        <v>186</v>
      </c>
    </row>
    <row r="378" spans="1:9" x14ac:dyDescent="0.2">
      <c r="A378" t="s">
        <v>172</v>
      </c>
      <c r="B378" t="s">
        <v>150</v>
      </c>
      <c r="C378" t="s">
        <v>156</v>
      </c>
      <c r="D378" s="32">
        <v>1123.333333333343</v>
      </c>
      <c r="E378" s="32">
        <v>6</v>
      </c>
      <c r="F378" s="32">
        <v>272072</v>
      </c>
      <c r="G378" s="32">
        <v>0</v>
      </c>
      <c r="H378" s="32">
        <v>612386</v>
      </c>
      <c r="I378" s="15" t="s">
        <v>186</v>
      </c>
    </row>
    <row r="379" spans="1:9" x14ac:dyDescent="0.2">
      <c r="A379" t="s">
        <v>28</v>
      </c>
      <c r="B379" t="s">
        <v>149</v>
      </c>
      <c r="C379" t="s">
        <v>156</v>
      </c>
      <c r="D379" s="32">
        <v>72.666666666666671</v>
      </c>
      <c r="E379" s="32">
        <v>0</v>
      </c>
      <c r="F379" s="32">
        <v>0</v>
      </c>
      <c r="G379" s="32">
        <v>0</v>
      </c>
      <c r="H379" s="32">
        <v>37740</v>
      </c>
      <c r="I379" s="15" t="s">
        <v>186</v>
      </c>
    </row>
    <row r="380" spans="1:9" x14ac:dyDescent="0.2">
      <c r="A380" t="s">
        <v>106</v>
      </c>
      <c r="B380" t="s">
        <v>153</v>
      </c>
      <c r="C380" t="s">
        <v>156</v>
      </c>
      <c r="D380" s="32">
        <v>180.96666666666664</v>
      </c>
      <c r="E380" s="32">
        <v>0</v>
      </c>
      <c r="F380" s="32">
        <v>5520</v>
      </c>
      <c r="G380" s="32">
        <v>0</v>
      </c>
      <c r="H380" s="32">
        <v>143208</v>
      </c>
      <c r="I380" s="15" t="s">
        <v>186</v>
      </c>
    </row>
    <row r="381" spans="1:9" x14ac:dyDescent="0.2">
      <c r="A381" t="s">
        <v>14</v>
      </c>
      <c r="B381" t="s">
        <v>150</v>
      </c>
      <c r="C381" t="s">
        <v>156</v>
      </c>
      <c r="D381" s="32">
        <v>357</v>
      </c>
      <c r="E381" s="32">
        <v>0</v>
      </c>
      <c r="F381" s="32">
        <v>0</v>
      </c>
      <c r="G381" s="32">
        <v>0</v>
      </c>
      <c r="H381" s="32">
        <v>278078</v>
      </c>
      <c r="I381" s="15" t="s">
        <v>186</v>
      </c>
    </row>
    <row r="382" spans="1:9" x14ac:dyDescent="0.2">
      <c r="A382" t="s">
        <v>13</v>
      </c>
      <c r="B382" t="s">
        <v>150</v>
      </c>
      <c r="C382" t="s">
        <v>156</v>
      </c>
      <c r="D382" s="32">
        <v>704.38333333333401</v>
      </c>
      <c r="E382" s="32">
        <v>0</v>
      </c>
      <c r="F382" s="32">
        <v>617180</v>
      </c>
      <c r="G382" s="32">
        <v>0</v>
      </c>
      <c r="H382" s="32">
        <v>512177</v>
      </c>
      <c r="I382" s="15" t="s">
        <v>186</v>
      </c>
    </row>
    <row r="383" spans="1:9" x14ac:dyDescent="0.2">
      <c r="A383" t="s">
        <v>60</v>
      </c>
      <c r="B383" t="s">
        <v>150</v>
      </c>
      <c r="C383" t="s">
        <v>156</v>
      </c>
      <c r="D383" s="32">
        <v>146.73333333333335</v>
      </c>
      <c r="E383" s="32">
        <v>0</v>
      </c>
      <c r="F383" s="32">
        <v>65390</v>
      </c>
      <c r="G383" s="32">
        <v>0</v>
      </c>
      <c r="H383" s="32">
        <v>68882</v>
      </c>
      <c r="I383" s="15" t="s">
        <v>186</v>
      </c>
    </row>
    <row r="384" spans="1:9" x14ac:dyDescent="0.2">
      <c r="A384" t="s">
        <v>64</v>
      </c>
      <c r="B384" t="s">
        <v>153</v>
      </c>
      <c r="C384" t="s">
        <v>156</v>
      </c>
      <c r="D384" s="32">
        <v>1302</v>
      </c>
      <c r="E384" s="32">
        <v>9939</v>
      </c>
      <c r="F384" s="32">
        <v>594478</v>
      </c>
      <c r="G384" s="32">
        <v>8078</v>
      </c>
      <c r="H384" s="32">
        <v>1123316</v>
      </c>
      <c r="I384" s="15" t="s">
        <v>186</v>
      </c>
    </row>
    <row r="385" spans="1:9" x14ac:dyDescent="0.2">
      <c r="A385" t="s">
        <v>3</v>
      </c>
      <c r="B385" t="s">
        <v>149</v>
      </c>
      <c r="C385" t="s">
        <v>156</v>
      </c>
      <c r="D385" s="32">
        <v>2666.8166666666693</v>
      </c>
      <c r="E385" s="32">
        <v>0</v>
      </c>
      <c r="F385" s="32">
        <v>842336.80000000016</v>
      </c>
      <c r="G385" s="32">
        <v>0</v>
      </c>
      <c r="H385" s="32">
        <v>1989303</v>
      </c>
      <c r="I385" s="15" t="s">
        <v>186</v>
      </c>
    </row>
    <row r="386" spans="1:9" x14ac:dyDescent="0.2">
      <c r="A386" t="s">
        <v>58</v>
      </c>
      <c r="B386" t="s">
        <v>150</v>
      </c>
      <c r="C386" t="s">
        <v>156</v>
      </c>
      <c r="D386" s="32">
        <v>934.18333333333351</v>
      </c>
      <c r="E386" s="32">
        <v>0</v>
      </c>
      <c r="F386" s="32">
        <v>495500</v>
      </c>
      <c r="G386" s="32">
        <v>0</v>
      </c>
      <c r="H386" s="32">
        <v>669954</v>
      </c>
      <c r="I386" s="15" t="s">
        <v>186</v>
      </c>
    </row>
    <row r="387" spans="1:9" x14ac:dyDescent="0.2">
      <c r="A387" t="s">
        <v>35</v>
      </c>
      <c r="B387" t="s">
        <v>153</v>
      </c>
      <c r="C387" t="s">
        <v>156</v>
      </c>
      <c r="D387" s="32">
        <v>620</v>
      </c>
      <c r="E387" s="32">
        <v>20828</v>
      </c>
      <c r="F387" s="32">
        <v>303186</v>
      </c>
      <c r="G387" s="32">
        <v>0</v>
      </c>
      <c r="H387" s="32">
        <v>567021</v>
      </c>
      <c r="I387" s="15" t="s">
        <v>186</v>
      </c>
    </row>
    <row r="388" spans="1:9" x14ac:dyDescent="0.2">
      <c r="A388" t="s">
        <v>32</v>
      </c>
      <c r="B388" t="s">
        <v>152</v>
      </c>
      <c r="C388" t="s">
        <v>156</v>
      </c>
      <c r="D388" s="32">
        <v>124</v>
      </c>
      <c r="E388" s="32">
        <v>0</v>
      </c>
      <c r="F388" s="32">
        <v>100540</v>
      </c>
      <c r="G388" s="32">
        <v>0</v>
      </c>
      <c r="H388" s="32">
        <v>77810</v>
      </c>
      <c r="I388" s="15" t="s">
        <v>186</v>
      </c>
    </row>
    <row r="389" spans="1:9" x14ac:dyDescent="0.2">
      <c r="A389" t="s">
        <v>62</v>
      </c>
      <c r="B389" t="s">
        <v>152</v>
      </c>
      <c r="C389" t="s">
        <v>156</v>
      </c>
      <c r="D389" s="32">
        <v>612</v>
      </c>
      <c r="E389" s="32">
        <v>1124</v>
      </c>
      <c r="F389" s="32">
        <v>257127</v>
      </c>
      <c r="G389" s="32">
        <v>104</v>
      </c>
      <c r="H389" s="32">
        <v>470742</v>
      </c>
      <c r="I389" s="15" t="s">
        <v>186</v>
      </c>
    </row>
    <row r="390" spans="1:9" x14ac:dyDescent="0.2">
      <c r="A390" t="s">
        <v>112</v>
      </c>
      <c r="B390" t="s">
        <v>152</v>
      </c>
      <c r="C390" t="s">
        <v>156</v>
      </c>
      <c r="D390" s="32">
        <v>186</v>
      </c>
      <c r="E390" s="32">
        <v>0</v>
      </c>
      <c r="F390" s="32">
        <v>36157</v>
      </c>
      <c r="G390" s="32">
        <v>0</v>
      </c>
      <c r="H390" s="32">
        <v>140864</v>
      </c>
      <c r="I390" s="15" t="s">
        <v>186</v>
      </c>
    </row>
    <row r="391" spans="1:9" x14ac:dyDescent="0.2">
      <c r="A391" t="s">
        <v>19</v>
      </c>
      <c r="B391" t="s">
        <v>152</v>
      </c>
      <c r="C391" t="s">
        <v>156</v>
      </c>
      <c r="D391" s="32">
        <v>814</v>
      </c>
      <c r="E391" s="32">
        <v>9</v>
      </c>
      <c r="F391" s="32">
        <v>344951</v>
      </c>
      <c r="G391" s="32">
        <v>114</v>
      </c>
      <c r="H391" s="32">
        <v>590516</v>
      </c>
      <c r="I391" s="15" t="s">
        <v>186</v>
      </c>
    </row>
    <row r="392" spans="1:9" x14ac:dyDescent="0.2">
      <c r="A392" t="s">
        <v>66</v>
      </c>
      <c r="B392" t="s">
        <v>153</v>
      </c>
      <c r="C392" t="s">
        <v>156</v>
      </c>
      <c r="D392" s="32">
        <v>1080</v>
      </c>
      <c r="E392" s="32">
        <v>19575</v>
      </c>
      <c r="F392" s="32">
        <v>557127</v>
      </c>
      <c r="G392" s="32">
        <v>0</v>
      </c>
      <c r="H392" s="32">
        <v>637022</v>
      </c>
      <c r="I392" s="15" t="s">
        <v>186</v>
      </c>
    </row>
    <row r="393" spans="1:9" x14ac:dyDescent="0.2">
      <c r="A393" t="s">
        <v>99</v>
      </c>
      <c r="B393" t="s">
        <v>153</v>
      </c>
      <c r="C393" t="s">
        <v>156</v>
      </c>
      <c r="D393" s="32">
        <v>475</v>
      </c>
      <c r="E393" s="32">
        <v>0</v>
      </c>
      <c r="F393" s="32">
        <v>0</v>
      </c>
      <c r="G393" s="32">
        <v>0</v>
      </c>
      <c r="H393" s="32">
        <v>362634</v>
      </c>
      <c r="I393" s="15" t="s">
        <v>186</v>
      </c>
    </row>
    <row r="394" spans="1:9" x14ac:dyDescent="0.2">
      <c r="A394" t="s">
        <v>29</v>
      </c>
      <c r="B394" t="s">
        <v>149</v>
      </c>
      <c r="C394" t="s">
        <v>156</v>
      </c>
      <c r="D394" s="32">
        <v>437.13333333333338</v>
      </c>
      <c r="E394" s="32">
        <v>0</v>
      </c>
      <c r="F394" s="32">
        <v>0</v>
      </c>
      <c r="G394" s="32">
        <v>0</v>
      </c>
      <c r="H394" s="32">
        <v>298360</v>
      </c>
      <c r="I394" s="15" t="s">
        <v>186</v>
      </c>
    </row>
    <row r="395" spans="1:9" x14ac:dyDescent="0.2">
      <c r="A395" t="s">
        <v>59</v>
      </c>
      <c r="B395" t="s">
        <v>150</v>
      </c>
      <c r="C395" t="s">
        <v>156</v>
      </c>
      <c r="D395" s="32">
        <v>109.3666666666667</v>
      </c>
      <c r="E395" s="32">
        <v>0</v>
      </c>
      <c r="F395" s="32">
        <v>34266</v>
      </c>
      <c r="G395" s="32">
        <v>0</v>
      </c>
      <c r="H395" s="32">
        <v>69032</v>
      </c>
      <c r="I395" s="15" t="s">
        <v>186</v>
      </c>
    </row>
    <row r="396" spans="1:9" x14ac:dyDescent="0.2">
      <c r="A396" t="s">
        <v>38</v>
      </c>
      <c r="B396" t="s">
        <v>150</v>
      </c>
      <c r="C396" t="s">
        <v>156</v>
      </c>
      <c r="D396" s="32">
        <v>267.16666666666669</v>
      </c>
      <c r="E396" s="32">
        <v>0</v>
      </c>
      <c r="F396" s="32">
        <v>170311</v>
      </c>
      <c r="G396" s="32">
        <v>0</v>
      </c>
      <c r="H396" s="32">
        <v>180384</v>
      </c>
      <c r="I396" s="15" t="s">
        <v>186</v>
      </c>
    </row>
    <row r="397" spans="1:9" x14ac:dyDescent="0.2">
      <c r="A397" t="s">
        <v>48</v>
      </c>
      <c r="B397" t="s">
        <v>153</v>
      </c>
      <c r="C397" t="s">
        <v>156</v>
      </c>
      <c r="D397" s="32">
        <v>140.43333333333334</v>
      </c>
      <c r="E397" s="32">
        <v>0</v>
      </c>
      <c r="F397" s="32">
        <v>42920</v>
      </c>
      <c r="G397" s="32">
        <v>0</v>
      </c>
      <c r="H397" s="32">
        <v>108764</v>
      </c>
      <c r="I397" s="15" t="s">
        <v>186</v>
      </c>
    </row>
    <row r="398" spans="1:9" x14ac:dyDescent="0.2">
      <c r="A398" t="s">
        <v>26</v>
      </c>
      <c r="B398" t="s">
        <v>153</v>
      </c>
      <c r="C398" t="s">
        <v>156</v>
      </c>
      <c r="D398" s="32">
        <v>100.51666666666667</v>
      </c>
      <c r="E398" s="32">
        <v>0</v>
      </c>
      <c r="F398" s="32">
        <v>3895</v>
      </c>
      <c r="G398" s="32">
        <v>0</v>
      </c>
      <c r="H398" s="32">
        <v>79560</v>
      </c>
      <c r="I398" s="15" t="s">
        <v>186</v>
      </c>
    </row>
    <row r="399" spans="1:9" x14ac:dyDescent="0.2">
      <c r="A399" t="s">
        <v>110</v>
      </c>
      <c r="B399" t="s">
        <v>154</v>
      </c>
      <c r="C399" t="s">
        <v>156</v>
      </c>
      <c r="D399" s="32">
        <v>525.3333333333336</v>
      </c>
      <c r="E399" s="32">
        <v>0</v>
      </c>
      <c r="F399" s="32">
        <v>0</v>
      </c>
      <c r="G399" s="32">
        <v>0</v>
      </c>
      <c r="H399" s="32">
        <v>452352</v>
      </c>
      <c r="I399" s="15" t="s">
        <v>186</v>
      </c>
    </row>
    <row r="400" spans="1:9" x14ac:dyDescent="0.2">
      <c r="A400" t="s">
        <v>88</v>
      </c>
      <c r="B400" t="s">
        <v>150</v>
      </c>
      <c r="C400" t="s">
        <v>156</v>
      </c>
      <c r="D400" s="32">
        <v>1817.8333333333319</v>
      </c>
      <c r="E400" s="32">
        <v>0</v>
      </c>
      <c r="F400" s="32">
        <v>0</v>
      </c>
      <c r="G400" s="32">
        <v>0</v>
      </c>
      <c r="H400" s="32">
        <v>1245485</v>
      </c>
      <c r="I400" s="15" t="s">
        <v>186</v>
      </c>
    </row>
    <row r="401" spans="1:9" x14ac:dyDescent="0.2">
      <c r="A401" t="s">
        <v>109</v>
      </c>
      <c r="B401" t="s">
        <v>150</v>
      </c>
      <c r="C401" t="s">
        <v>156</v>
      </c>
      <c r="D401" s="32">
        <v>2528.2499999999995</v>
      </c>
      <c r="E401" s="32">
        <v>0</v>
      </c>
      <c r="F401" s="32">
        <v>1362975</v>
      </c>
      <c r="G401" s="32">
        <v>0</v>
      </c>
      <c r="H401" s="32">
        <v>1608907</v>
      </c>
      <c r="I401" s="15" t="s">
        <v>186</v>
      </c>
    </row>
    <row r="402" spans="1:9" x14ac:dyDescent="0.2">
      <c r="A402" t="s">
        <v>16</v>
      </c>
      <c r="B402" t="s">
        <v>150</v>
      </c>
      <c r="C402" t="s">
        <v>156</v>
      </c>
      <c r="D402" s="32">
        <v>715.11666666666702</v>
      </c>
      <c r="E402" s="32">
        <v>0</v>
      </c>
      <c r="F402" s="32">
        <v>432425</v>
      </c>
      <c r="G402" s="32">
        <v>0</v>
      </c>
      <c r="H402" s="32">
        <v>416176</v>
      </c>
      <c r="I402" s="15" t="s">
        <v>186</v>
      </c>
    </row>
    <row r="403" spans="1:9" x14ac:dyDescent="0.2">
      <c r="A403" t="s">
        <v>69</v>
      </c>
      <c r="B403" t="s">
        <v>151</v>
      </c>
      <c r="C403" t="s">
        <v>156</v>
      </c>
      <c r="D403" s="32">
        <v>1051.466666666666</v>
      </c>
      <c r="E403" s="32">
        <v>0</v>
      </c>
      <c r="F403" s="32">
        <v>740448</v>
      </c>
      <c r="G403" s="32">
        <v>0</v>
      </c>
      <c r="H403" s="32">
        <v>883966</v>
      </c>
      <c r="I403" s="15" t="s">
        <v>186</v>
      </c>
    </row>
    <row r="404" spans="1:9" x14ac:dyDescent="0.2">
      <c r="A404" t="s">
        <v>36</v>
      </c>
      <c r="B404" t="s">
        <v>152</v>
      </c>
      <c r="C404" t="s">
        <v>156</v>
      </c>
      <c r="D404" s="32">
        <v>341</v>
      </c>
      <c r="E404" s="32">
        <v>5416</v>
      </c>
      <c r="F404" s="32">
        <v>146795</v>
      </c>
      <c r="G404" s="32">
        <v>0</v>
      </c>
      <c r="H404" s="32">
        <v>154442</v>
      </c>
      <c r="I404" s="15" t="s">
        <v>186</v>
      </c>
    </row>
    <row r="405" spans="1:9" x14ac:dyDescent="0.2">
      <c r="A405" t="s">
        <v>51</v>
      </c>
      <c r="B405" t="s">
        <v>152</v>
      </c>
      <c r="C405" t="s">
        <v>156</v>
      </c>
      <c r="D405" s="32">
        <v>300</v>
      </c>
      <c r="E405" s="32">
        <v>1592</v>
      </c>
      <c r="F405" s="32">
        <v>111286</v>
      </c>
      <c r="G405" s="32">
        <v>0</v>
      </c>
      <c r="H405" s="32">
        <v>254460</v>
      </c>
      <c r="I405" s="15" t="s">
        <v>186</v>
      </c>
    </row>
    <row r="406" spans="1:9" x14ac:dyDescent="0.2">
      <c r="A406" t="s">
        <v>79</v>
      </c>
      <c r="B406" t="s">
        <v>152</v>
      </c>
      <c r="C406" t="s">
        <v>156</v>
      </c>
      <c r="D406" s="32">
        <v>665</v>
      </c>
      <c r="E406" s="32">
        <v>0</v>
      </c>
      <c r="F406" s="32">
        <v>246839</v>
      </c>
      <c r="G406" s="32">
        <v>30</v>
      </c>
      <c r="H406" s="32">
        <v>511280</v>
      </c>
      <c r="I406" s="15" t="s">
        <v>186</v>
      </c>
    </row>
    <row r="407" spans="1:9" x14ac:dyDescent="0.2">
      <c r="A407" t="s">
        <v>40</v>
      </c>
      <c r="B407" t="s">
        <v>152</v>
      </c>
      <c r="C407" t="s">
        <v>156</v>
      </c>
      <c r="D407" s="32">
        <v>25</v>
      </c>
      <c r="E407" s="32">
        <v>0</v>
      </c>
      <c r="F407" s="32">
        <v>0</v>
      </c>
      <c r="G407" s="32">
        <v>0</v>
      </c>
      <c r="H407" s="32">
        <v>18135</v>
      </c>
      <c r="I407" s="15" t="s">
        <v>186</v>
      </c>
    </row>
    <row r="408" spans="1:9" x14ac:dyDescent="0.2">
      <c r="A408" t="s">
        <v>44</v>
      </c>
      <c r="B408" t="s">
        <v>153</v>
      </c>
      <c r="C408" t="s">
        <v>156</v>
      </c>
      <c r="D408" s="32">
        <v>526.5</v>
      </c>
      <c r="E408" s="32">
        <v>0</v>
      </c>
      <c r="F408" s="32">
        <v>198833</v>
      </c>
      <c r="G408" s="32">
        <v>0</v>
      </c>
      <c r="H408" s="32">
        <v>406996</v>
      </c>
      <c r="I408" s="15" t="s">
        <v>186</v>
      </c>
    </row>
    <row r="409" spans="1:9" x14ac:dyDescent="0.2">
      <c r="A409" t="s">
        <v>89</v>
      </c>
      <c r="B409" t="s">
        <v>152</v>
      </c>
      <c r="C409" t="s">
        <v>156</v>
      </c>
      <c r="D409" s="32">
        <v>85</v>
      </c>
      <c r="E409" s="32">
        <v>0</v>
      </c>
      <c r="F409" s="32">
        <v>7111</v>
      </c>
      <c r="G409" s="32">
        <v>0</v>
      </c>
      <c r="H409" s="32">
        <v>35178</v>
      </c>
      <c r="I409" s="15" t="s">
        <v>186</v>
      </c>
    </row>
    <row r="410" spans="1:9" x14ac:dyDescent="0.2">
      <c r="A410" t="s">
        <v>22</v>
      </c>
      <c r="B410" t="s">
        <v>153</v>
      </c>
      <c r="C410" t="s">
        <v>156</v>
      </c>
      <c r="D410" s="32">
        <v>193.65000000000003</v>
      </c>
      <c r="E410" s="32">
        <v>0</v>
      </c>
      <c r="F410" s="32">
        <v>48540</v>
      </c>
      <c r="G410" s="32">
        <v>0</v>
      </c>
      <c r="H410" s="32">
        <v>149535</v>
      </c>
      <c r="I410" s="15" t="s">
        <v>186</v>
      </c>
    </row>
    <row r="411" spans="1:9" x14ac:dyDescent="0.2">
      <c r="A411" t="s">
        <v>21</v>
      </c>
      <c r="B411" t="s">
        <v>153</v>
      </c>
      <c r="C411" t="s">
        <v>156</v>
      </c>
      <c r="D411" s="32">
        <v>279.2833333333333</v>
      </c>
      <c r="E411" s="32">
        <v>0</v>
      </c>
      <c r="F411" s="32">
        <v>87360</v>
      </c>
      <c r="G411" s="32">
        <v>0</v>
      </c>
      <c r="H411" s="32">
        <v>215176</v>
      </c>
      <c r="I411" s="15" t="s">
        <v>186</v>
      </c>
    </row>
    <row r="412" spans="1:9" x14ac:dyDescent="0.2">
      <c r="A412" t="s">
        <v>90</v>
      </c>
      <c r="B412" t="s">
        <v>150</v>
      </c>
      <c r="C412" t="s">
        <v>156</v>
      </c>
      <c r="D412" s="32">
        <v>7359.9999999999791</v>
      </c>
      <c r="E412" s="32">
        <v>1558</v>
      </c>
      <c r="F412" s="32">
        <v>3845524</v>
      </c>
      <c r="G412" s="32">
        <v>0</v>
      </c>
      <c r="H412" s="32">
        <v>5430800</v>
      </c>
      <c r="I412" s="15" t="s">
        <v>186</v>
      </c>
    </row>
    <row r="413" spans="1:9" x14ac:dyDescent="0.2">
      <c r="A413" t="s">
        <v>15</v>
      </c>
      <c r="B413" t="s">
        <v>150</v>
      </c>
      <c r="C413" t="s">
        <v>156</v>
      </c>
      <c r="D413" s="32">
        <v>306</v>
      </c>
      <c r="E413" s="32">
        <v>0</v>
      </c>
      <c r="F413" s="32">
        <v>0</v>
      </c>
      <c r="G413" s="32">
        <v>0</v>
      </c>
      <c r="H413" s="32">
        <v>207181</v>
      </c>
      <c r="I413" s="15" t="s">
        <v>186</v>
      </c>
    </row>
    <row r="414" spans="1:9" x14ac:dyDescent="0.2">
      <c r="A414" t="s">
        <v>30</v>
      </c>
      <c r="B414" t="s">
        <v>150</v>
      </c>
      <c r="C414" t="s">
        <v>156</v>
      </c>
      <c r="D414" s="32">
        <v>3699.5166666666669</v>
      </c>
      <c r="E414" s="32">
        <v>0</v>
      </c>
      <c r="F414" s="32">
        <v>1658336</v>
      </c>
      <c r="G414" s="32">
        <v>0</v>
      </c>
      <c r="H414" s="32">
        <v>2276621</v>
      </c>
      <c r="I414" s="15" t="s">
        <v>186</v>
      </c>
    </row>
    <row r="415" spans="1:9" x14ac:dyDescent="0.2">
      <c r="A415" t="s">
        <v>73</v>
      </c>
      <c r="B415" t="s">
        <v>150</v>
      </c>
      <c r="C415" t="s">
        <v>156</v>
      </c>
      <c r="D415" s="32">
        <v>447.183333333333</v>
      </c>
      <c r="E415" s="32">
        <v>0</v>
      </c>
      <c r="F415" s="32">
        <v>275660</v>
      </c>
      <c r="G415" s="32">
        <v>0</v>
      </c>
      <c r="H415" s="32">
        <v>329022</v>
      </c>
      <c r="I415" s="15" t="s">
        <v>186</v>
      </c>
    </row>
    <row r="416" spans="1:9" x14ac:dyDescent="0.2">
      <c r="A416" t="s">
        <v>81</v>
      </c>
      <c r="B416" t="s">
        <v>153</v>
      </c>
      <c r="C416" t="s">
        <v>156</v>
      </c>
      <c r="D416" s="32">
        <v>245</v>
      </c>
      <c r="E416" s="32">
        <v>0</v>
      </c>
      <c r="F416" s="32">
        <v>213680</v>
      </c>
      <c r="G416" s="32">
        <v>0</v>
      </c>
      <c r="H416" s="32">
        <v>207610</v>
      </c>
      <c r="I416" s="15" t="s">
        <v>186</v>
      </c>
    </row>
    <row r="417" spans="1:9" x14ac:dyDescent="0.2">
      <c r="A417" t="s">
        <v>5</v>
      </c>
      <c r="B417" t="s">
        <v>149</v>
      </c>
      <c r="C417" t="s">
        <v>156</v>
      </c>
      <c r="D417" s="32">
        <v>188.79999999999998</v>
      </c>
      <c r="E417" s="32">
        <v>0</v>
      </c>
      <c r="F417" s="32">
        <v>187119</v>
      </c>
      <c r="G417" s="32">
        <v>0</v>
      </c>
      <c r="H417" s="32">
        <v>227262</v>
      </c>
      <c r="I417" s="15" t="s">
        <v>186</v>
      </c>
    </row>
    <row r="418" spans="1:9" x14ac:dyDescent="0.2">
      <c r="A418" t="s">
        <v>50</v>
      </c>
      <c r="B418" t="s">
        <v>149</v>
      </c>
      <c r="C418" t="s">
        <v>156</v>
      </c>
      <c r="D418" s="32">
        <v>3886.7833333333338</v>
      </c>
      <c r="E418" s="32">
        <v>0</v>
      </c>
      <c r="F418" s="32">
        <v>0</v>
      </c>
      <c r="G418" s="32">
        <v>0</v>
      </c>
      <c r="H418" s="32">
        <v>2903433</v>
      </c>
      <c r="I418" s="15" t="s">
        <v>186</v>
      </c>
    </row>
    <row r="419" spans="1:9" x14ac:dyDescent="0.2">
      <c r="A419" t="s">
        <v>37</v>
      </c>
      <c r="B419" t="s">
        <v>151</v>
      </c>
      <c r="C419" t="s">
        <v>156</v>
      </c>
      <c r="D419" s="32">
        <v>1263.1999999999978</v>
      </c>
      <c r="E419" s="32">
        <v>0</v>
      </c>
      <c r="F419" s="32">
        <v>740247</v>
      </c>
      <c r="G419" s="32">
        <v>0</v>
      </c>
      <c r="H419" s="32">
        <v>1101100</v>
      </c>
      <c r="I419" s="15" t="s">
        <v>186</v>
      </c>
    </row>
    <row r="420" spans="1:9" x14ac:dyDescent="0.2">
      <c r="A420" t="s">
        <v>41</v>
      </c>
      <c r="B420" t="s">
        <v>153</v>
      </c>
      <c r="C420" t="s">
        <v>156</v>
      </c>
      <c r="D420" s="32">
        <v>306.46666666666664</v>
      </c>
      <c r="E420" s="32">
        <v>0</v>
      </c>
      <c r="F420" s="32">
        <v>146829</v>
      </c>
      <c r="G420" s="32">
        <v>0</v>
      </c>
      <c r="H420" s="32">
        <v>249394</v>
      </c>
      <c r="I420" s="15" t="s">
        <v>186</v>
      </c>
    </row>
    <row r="421" spans="1:9" x14ac:dyDescent="0.2">
      <c r="A421" t="s">
        <v>188</v>
      </c>
      <c r="B421" t="s">
        <v>153</v>
      </c>
      <c r="C421" t="s">
        <v>156</v>
      </c>
      <c r="D421" s="32">
        <v>8</v>
      </c>
      <c r="E421" s="32">
        <v>0</v>
      </c>
      <c r="F421" s="32">
        <v>0</v>
      </c>
      <c r="G421" s="32">
        <v>0</v>
      </c>
      <c r="H421" s="32">
        <v>4764</v>
      </c>
      <c r="I421" s="15" t="s">
        <v>186</v>
      </c>
    </row>
    <row r="422" spans="1:9" x14ac:dyDescent="0.2">
      <c r="A422" t="s">
        <v>108</v>
      </c>
      <c r="B422" t="s">
        <v>149</v>
      </c>
      <c r="C422" t="s">
        <v>155</v>
      </c>
      <c r="D422" s="32">
        <v>213.01666666666668</v>
      </c>
      <c r="E422" s="32">
        <v>130</v>
      </c>
      <c r="F422" s="32">
        <v>58160.76</v>
      </c>
      <c r="G422" s="32">
        <v>895.5</v>
      </c>
      <c r="H422" s="32">
        <v>86518</v>
      </c>
      <c r="I422" s="15" t="s">
        <v>189</v>
      </c>
    </row>
    <row r="423" spans="1:9" x14ac:dyDescent="0.2">
      <c r="A423" t="s">
        <v>4</v>
      </c>
      <c r="B423" t="s">
        <v>149</v>
      </c>
      <c r="C423" t="s">
        <v>155</v>
      </c>
      <c r="D423" s="32">
        <v>2862.0833333333344</v>
      </c>
      <c r="E423" s="32">
        <v>0</v>
      </c>
      <c r="F423" s="32">
        <v>334672</v>
      </c>
      <c r="G423" s="32">
        <v>0</v>
      </c>
      <c r="H423" s="32">
        <v>1023271</v>
      </c>
      <c r="I423" s="15" t="s">
        <v>189</v>
      </c>
    </row>
    <row r="424" spans="1:9" x14ac:dyDescent="0.2">
      <c r="A424" t="s">
        <v>2</v>
      </c>
      <c r="B424" t="s">
        <v>149</v>
      </c>
      <c r="C424" t="s">
        <v>155</v>
      </c>
      <c r="D424" s="32">
        <v>8961.1166666666595</v>
      </c>
      <c r="E424" s="32">
        <v>3399</v>
      </c>
      <c r="F424" s="32">
        <v>4272732</v>
      </c>
      <c r="G424" s="32">
        <v>0</v>
      </c>
      <c r="H424" s="32">
        <v>4469649</v>
      </c>
      <c r="I424" s="15" t="s">
        <v>189</v>
      </c>
    </row>
    <row r="425" spans="1:9" x14ac:dyDescent="0.2">
      <c r="A425" t="s">
        <v>1</v>
      </c>
      <c r="B425" t="s">
        <v>149</v>
      </c>
      <c r="C425" t="s">
        <v>155</v>
      </c>
      <c r="D425" s="32">
        <v>14884.216666666647</v>
      </c>
      <c r="E425" s="32">
        <v>773</v>
      </c>
      <c r="F425" s="32">
        <v>5225342</v>
      </c>
      <c r="G425" s="32">
        <v>0</v>
      </c>
      <c r="H425" s="32">
        <v>6517969</v>
      </c>
      <c r="I425" s="15" t="s">
        <v>189</v>
      </c>
    </row>
    <row r="426" spans="1:9" x14ac:dyDescent="0.2">
      <c r="A426" t="s">
        <v>57</v>
      </c>
      <c r="B426" t="s">
        <v>149</v>
      </c>
      <c r="C426" t="s">
        <v>155</v>
      </c>
      <c r="D426" s="32">
        <v>82.499999999999986</v>
      </c>
      <c r="E426" s="32">
        <v>0</v>
      </c>
      <c r="F426" s="32">
        <v>0</v>
      </c>
      <c r="G426" s="32">
        <v>0</v>
      </c>
      <c r="H426" s="32">
        <v>29988</v>
      </c>
      <c r="I426" s="15" t="s">
        <v>189</v>
      </c>
    </row>
    <row r="427" spans="1:9" x14ac:dyDescent="0.2">
      <c r="A427" t="s">
        <v>28</v>
      </c>
      <c r="B427" t="s">
        <v>149</v>
      </c>
      <c r="C427" t="s">
        <v>155</v>
      </c>
      <c r="D427" s="32">
        <v>643.91666666666652</v>
      </c>
      <c r="E427" s="32">
        <v>0</v>
      </c>
      <c r="F427" s="32">
        <v>0</v>
      </c>
      <c r="G427" s="32">
        <v>0</v>
      </c>
      <c r="H427" s="32">
        <v>300761</v>
      </c>
      <c r="I427" s="15" t="s">
        <v>189</v>
      </c>
    </row>
    <row r="428" spans="1:9" x14ac:dyDescent="0.2">
      <c r="A428" t="s">
        <v>3</v>
      </c>
      <c r="B428" t="s">
        <v>149</v>
      </c>
      <c r="C428" t="s">
        <v>155</v>
      </c>
      <c r="D428" s="32">
        <v>9246.4666666666617</v>
      </c>
      <c r="E428" s="32">
        <v>0</v>
      </c>
      <c r="F428" s="32">
        <v>6450972.799999997</v>
      </c>
      <c r="G428" s="32">
        <v>0</v>
      </c>
      <c r="H428" s="32">
        <v>6057494</v>
      </c>
      <c r="I428" s="15" t="s">
        <v>189</v>
      </c>
    </row>
    <row r="429" spans="1:9" x14ac:dyDescent="0.2">
      <c r="A429" t="s">
        <v>6</v>
      </c>
      <c r="B429" t="s">
        <v>149</v>
      </c>
      <c r="C429" t="s">
        <v>155</v>
      </c>
      <c r="D429" s="32">
        <v>1621.5</v>
      </c>
      <c r="E429" s="32">
        <v>0</v>
      </c>
      <c r="F429" s="32">
        <v>0</v>
      </c>
      <c r="G429" s="32">
        <v>0</v>
      </c>
      <c r="H429" s="32">
        <v>1110945</v>
      </c>
      <c r="I429" s="15" t="s">
        <v>189</v>
      </c>
    </row>
    <row r="430" spans="1:9" x14ac:dyDescent="0.2">
      <c r="A430" t="s">
        <v>29</v>
      </c>
      <c r="B430" t="s">
        <v>149</v>
      </c>
      <c r="C430" t="s">
        <v>155</v>
      </c>
      <c r="D430" s="32">
        <v>35.716666666666669</v>
      </c>
      <c r="E430" s="32">
        <v>0</v>
      </c>
      <c r="F430" s="32">
        <v>0</v>
      </c>
      <c r="G430" s="32">
        <v>0</v>
      </c>
      <c r="H430" s="32">
        <v>13770</v>
      </c>
      <c r="I430" s="15" t="s">
        <v>189</v>
      </c>
    </row>
    <row r="431" spans="1:9" x14ac:dyDescent="0.2">
      <c r="A431" t="s">
        <v>170</v>
      </c>
      <c r="B431" t="s">
        <v>149</v>
      </c>
      <c r="C431" t="s">
        <v>155</v>
      </c>
      <c r="D431" s="32">
        <v>642.43333333333328</v>
      </c>
      <c r="E431" s="32">
        <v>0</v>
      </c>
      <c r="F431" s="32">
        <v>170536</v>
      </c>
      <c r="G431" s="32">
        <v>0</v>
      </c>
      <c r="H431" s="32">
        <v>271103</v>
      </c>
      <c r="I431" s="15" t="s">
        <v>189</v>
      </c>
    </row>
    <row r="432" spans="1:9" x14ac:dyDescent="0.2">
      <c r="A432" t="s">
        <v>5</v>
      </c>
      <c r="B432" t="s">
        <v>149</v>
      </c>
      <c r="C432" t="s">
        <v>155</v>
      </c>
      <c r="D432" s="32">
        <v>1174.7999999999975</v>
      </c>
      <c r="E432" s="32">
        <v>0</v>
      </c>
      <c r="F432" s="32">
        <v>2481434</v>
      </c>
      <c r="G432" s="32">
        <v>0</v>
      </c>
      <c r="H432" s="32">
        <v>2324899</v>
      </c>
      <c r="I432" s="15" t="s">
        <v>189</v>
      </c>
    </row>
    <row r="433" spans="1:9" x14ac:dyDescent="0.2">
      <c r="A433" t="s">
        <v>50</v>
      </c>
      <c r="B433" t="s">
        <v>149</v>
      </c>
      <c r="C433" t="s">
        <v>155</v>
      </c>
      <c r="D433" s="32">
        <v>11131.533333333331</v>
      </c>
      <c r="E433" s="32">
        <v>0</v>
      </c>
      <c r="F433" s="32">
        <v>0</v>
      </c>
      <c r="G433" s="32">
        <v>0</v>
      </c>
      <c r="H433" s="32">
        <v>7977619</v>
      </c>
      <c r="I433" s="15" t="s">
        <v>189</v>
      </c>
    </row>
    <row r="434" spans="1:9" x14ac:dyDescent="0.2">
      <c r="A434" t="s">
        <v>61</v>
      </c>
      <c r="B434" t="s">
        <v>150</v>
      </c>
      <c r="C434" t="s">
        <v>156</v>
      </c>
      <c r="D434" s="32">
        <v>123.23333333333333</v>
      </c>
      <c r="E434" s="32">
        <v>0</v>
      </c>
      <c r="F434" s="32">
        <v>0</v>
      </c>
      <c r="G434" s="32">
        <v>0</v>
      </c>
      <c r="H434" s="32">
        <v>193263</v>
      </c>
      <c r="I434" s="15" t="s">
        <v>189</v>
      </c>
    </row>
    <row r="435" spans="1:9" x14ac:dyDescent="0.2">
      <c r="A435" t="s">
        <v>147</v>
      </c>
      <c r="B435" t="s">
        <v>152</v>
      </c>
      <c r="C435" t="s">
        <v>156</v>
      </c>
      <c r="D435" s="32">
        <v>383.3333333333332</v>
      </c>
      <c r="E435" s="32">
        <v>0</v>
      </c>
      <c r="F435" s="32">
        <v>147382</v>
      </c>
      <c r="G435" s="32">
        <v>0</v>
      </c>
      <c r="H435" s="32">
        <v>301510</v>
      </c>
      <c r="I435" s="15" t="s">
        <v>189</v>
      </c>
    </row>
    <row r="436" spans="1:9" x14ac:dyDescent="0.2">
      <c r="A436" t="s">
        <v>4</v>
      </c>
      <c r="B436" t="s">
        <v>149</v>
      </c>
      <c r="C436" t="s">
        <v>156</v>
      </c>
      <c r="D436" s="32">
        <v>56.666666666666664</v>
      </c>
      <c r="E436" s="32">
        <v>0</v>
      </c>
      <c r="F436" s="32">
        <v>7810</v>
      </c>
      <c r="G436" s="32">
        <v>0</v>
      </c>
      <c r="H436" s="32">
        <v>25534</v>
      </c>
      <c r="I436" s="15" t="s">
        <v>189</v>
      </c>
    </row>
    <row r="437" spans="1:9" x14ac:dyDescent="0.2">
      <c r="A437" t="s">
        <v>2</v>
      </c>
      <c r="B437" t="s">
        <v>149</v>
      </c>
      <c r="C437" t="s">
        <v>156</v>
      </c>
      <c r="D437" s="32">
        <v>16411.633333333299</v>
      </c>
      <c r="E437" s="32">
        <v>28892</v>
      </c>
      <c r="F437" s="32">
        <v>6697876</v>
      </c>
      <c r="G437" s="32">
        <v>0</v>
      </c>
      <c r="H437" s="32">
        <v>11301251</v>
      </c>
      <c r="I437" s="15" t="s">
        <v>189</v>
      </c>
    </row>
    <row r="438" spans="1:9" x14ac:dyDescent="0.2">
      <c r="A438" t="s">
        <v>1</v>
      </c>
      <c r="B438" t="s">
        <v>149</v>
      </c>
      <c r="C438" t="s">
        <v>156</v>
      </c>
      <c r="D438" s="32">
        <v>3104.033333333336</v>
      </c>
      <c r="E438" s="32">
        <v>48</v>
      </c>
      <c r="F438" s="32">
        <v>1217887</v>
      </c>
      <c r="G438" s="32">
        <v>0</v>
      </c>
      <c r="H438" s="32">
        <v>1631295</v>
      </c>
      <c r="I438" s="15" t="s">
        <v>189</v>
      </c>
    </row>
    <row r="439" spans="1:9" x14ac:dyDescent="0.2">
      <c r="A439" t="s">
        <v>76</v>
      </c>
      <c r="B439" t="s">
        <v>152</v>
      </c>
      <c r="C439" t="s">
        <v>156</v>
      </c>
      <c r="D439" s="32">
        <v>444.99999999999983</v>
      </c>
      <c r="E439" s="32">
        <v>0</v>
      </c>
      <c r="F439" s="32">
        <v>171989</v>
      </c>
      <c r="G439" s="32">
        <v>316</v>
      </c>
      <c r="H439" s="32">
        <v>353940</v>
      </c>
      <c r="I439" s="15" t="s">
        <v>189</v>
      </c>
    </row>
    <row r="440" spans="1:9" x14ac:dyDescent="0.2">
      <c r="A440" t="s">
        <v>57</v>
      </c>
      <c r="B440" t="s">
        <v>149</v>
      </c>
      <c r="C440" t="s">
        <v>156</v>
      </c>
      <c r="D440" s="32">
        <v>463.66666666666669</v>
      </c>
      <c r="E440" s="32">
        <v>0</v>
      </c>
      <c r="F440" s="32">
        <v>0</v>
      </c>
      <c r="G440" s="32">
        <v>0</v>
      </c>
      <c r="H440" s="32">
        <v>327668</v>
      </c>
      <c r="I440" s="15" t="s">
        <v>189</v>
      </c>
    </row>
    <row r="441" spans="1:9" x14ac:dyDescent="0.2">
      <c r="A441" t="s">
        <v>67</v>
      </c>
      <c r="B441" t="s">
        <v>153</v>
      </c>
      <c r="C441" t="s">
        <v>156</v>
      </c>
      <c r="D441" s="32">
        <v>175.5</v>
      </c>
      <c r="E441" s="32">
        <v>0</v>
      </c>
      <c r="F441" s="32">
        <v>93478</v>
      </c>
      <c r="G441" s="32">
        <v>0</v>
      </c>
      <c r="H441" s="32">
        <v>151866</v>
      </c>
      <c r="I441" s="15" t="s">
        <v>189</v>
      </c>
    </row>
    <row r="442" spans="1:9" x14ac:dyDescent="0.2">
      <c r="A442" t="s">
        <v>12</v>
      </c>
      <c r="B442" t="s">
        <v>151</v>
      </c>
      <c r="C442" t="s">
        <v>156</v>
      </c>
      <c r="D442" s="32">
        <v>1633.5833333333346</v>
      </c>
      <c r="E442" s="32">
        <v>32640</v>
      </c>
      <c r="F442" s="32">
        <v>920500</v>
      </c>
      <c r="G442" s="32">
        <v>0</v>
      </c>
      <c r="H442" s="32">
        <v>1128785</v>
      </c>
      <c r="I442" s="15" t="s">
        <v>189</v>
      </c>
    </row>
    <row r="443" spans="1:9" x14ac:dyDescent="0.2">
      <c r="A443" t="s">
        <v>39</v>
      </c>
      <c r="B443" t="s">
        <v>153</v>
      </c>
      <c r="C443" t="s">
        <v>156</v>
      </c>
      <c r="D443" s="32">
        <v>280.45</v>
      </c>
      <c r="E443" s="32">
        <v>0</v>
      </c>
      <c r="F443" s="32">
        <v>9770</v>
      </c>
      <c r="G443" s="32">
        <v>0</v>
      </c>
      <c r="H443" s="32">
        <v>222768</v>
      </c>
      <c r="I443" s="15" t="s">
        <v>189</v>
      </c>
    </row>
    <row r="444" spans="1:9" x14ac:dyDescent="0.2">
      <c r="A444" t="s">
        <v>65</v>
      </c>
      <c r="B444" t="s">
        <v>153</v>
      </c>
      <c r="C444" t="s">
        <v>156</v>
      </c>
      <c r="D444" s="32">
        <v>864</v>
      </c>
      <c r="E444" s="32">
        <v>16349</v>
      </c>
      <c r="F444" s="32">
        <v>414212</v>
      </c>
      <c r="G444" s="32">
        <v>0</v>
      </c>
      <c r="H444" s="32">
        <v>782172</v>
      </c>
      <c r="I444" s="15" t="s">
        <v>189</v>
      </c>
    </row>
    <row r="445" spans="1:9" x14ac:dyDescent="0.2">
      <c r="A445" t="s">
        <v>68</v>
      </c>
      <c r="B445" t="s">
        <v>151</v>
      </c>
      <c r="C445" t="s">
        <v>156</v>
      </c>
      <c r="D445" s="32">
        <v>93.8333333333333</v>
      </c>
      <c r="E445" s="32">
        <v>0</v>
      </c>
      <c r="F445" s="32">
        <v>125849</v>
      </c>
      <c r="G445" s="32">
        <v>0</v>
      </c>
      <c r="H445" s="32">
        <v>82932</v>
      </c>
      <c r="I445" s="15" t="s">
        <v>189</v>
      </c>
    </row>
    <row r="446" spans="1:9" x14ac:dyDescent="0.2">
      <c r="A446" t="s">
        <v>10</v>
      </c>
      <c r="B446" t="s">
        <v>150</v>
      </c>
      <c r="C446" t="s">
        <v>156</v>
      </c>
      <c r="D446" s="32">
        <v>3366.9000000000033</v>
      </c>
      <c r="E446" s="32">
        <v>8787</v>
      </c>
      <c r="F446" s="32">
        <v>17517519</v>
      </c>
      <c r="G446" s="32">
        <v>0</v>
      </c>
      <c r="H446" s="32">
        <v>1393418</v>
      </c>
      <c r="I446" s="15" t="s">
        <v>189</v>
      </c>
    </row>
    <row r="447" spans="1:9" x14ac:dyDescent="0.2">
      <c r="A447" t="s">
        <v>8</v>
      </c>
      <c r="B447" t="s">
        <v>150</v>
      </c>
      <c r="C447" t="s">
        <v>156</v>
      </c>
      <c r="D447" s="32">
        <v>6477.3166666666257</v>
      </c>
      <c r="E447" s="32">
        <v>134995</v>
      </c>
      <c r="F447" s="32">
        <v>3521469</v>
      </c>
      <c r="G447" s="32">
        <v>0</v>
      </c>
      <c r="H447" s="32">
        <v>3851279</v>
      </c>
      <c r="I447" s="15" t="s">
        <v>189</v>
      </c>
    </row>
    <row r="448" spans="1:9" x14ac:dyDescent="0.2">
      <c r="A448" t="s">
        <v>17</v>
      </c>
      <c r="B448" t="s">
        <v>150</v>
      </c>
      <c r="C448" t="s">
        <v>156</v>
      </c>
      <c r="D448" s="32">
        <v>123.16666666666667</v>
      </c>
      <c r="E448" s="32">
        <v>0</v>
      </c>
      <c r="F448" s="32">
        <v>0</v>
      </c>
      <c r="G448" s="32">
        <v>0</v>
      </c>
      <c r="H448" s="32">
        <v>86562</v>
      </c>
      <c r="I448" s="15" t="s">
        <v>189</v>
      </c>
    </row>
    <row r="449" spans="1:9" x14ac:dyDescent="0.2">
      <c r="A449" t="s">
        <v>52</v>
      </c>
      <c r="B449" t="s">
        <v>150</v>
      </c>
      <c r="C449" t="s">
        <v>156</v>
      </c>
      <c r="D449" s="32">
        <v>126</v>
      </c>
      <c r="E449" s="32">
        <v>0</v>
      </c>
      <c r="F449" s="32">
        <v>0</v>
      </c>
      <c r="G449" s="32">
        <v>0</v>
      </c>
      <c r="H449" s="32">
        <v>77562</v>
      </c>
      <c r="I449" s="15" t="s">
        <v>189</v>
      </c>
    </row>
    <row r="450" spans="1:9" x14ac:dyDescent="0.2">
      <c r="A450" t="s">
        <v>34</v>
      </c>
      <c r="B450" t="s">
        <v>152</v>
      </c>
      <c r="C450" t="s">
        <v>156</v>
      </c>
      <c r="D450" s="32">
        <v>1177.7499999999995</v>
      </c>
      <c r="E450" s="32">
        <v>1002</v>
      </c>
      <c r="F450" s="32">
        <v>631501</v>
      </c>
      <c r="G450" s="32">
        <v>0</v>
      </c>
      <c r="H450" s="32">
        <v>925500</v>
      </c>
      <c r="I450" s="15" t="s">
        <v>189</v>
      </c>
    </row>
    <row r="451" spans="1:9" x14ac:dyDescent="0.2">
      <c r="A451" t="s">
        <v>56</v>
      </c>
      <c r="B451" t="s">
        <v>153</v>
      </c>
      <c r="C451" t="s">
        <v>156</v>
      </c>
      <c r="D451" s="32">
        <v>176.93333333333334</v>
      </c>
      <c r="E451" s="32">
        <v>0</v>
      </c>
      <c r="F451" s="32">
        <v>48156</v>
      </c>
      <c r="G451" s="32">
        <v>0</v>
      </c>
      <c r="H451" s="32">
        <v>147035</v>
      </c>
      <c r="I451" s="15" t="s">
        <v>189</v>
      </c>
    </row>
    <row r="452" spans="1:9" x14ac:dyDescent="0.2">
      <c r="A452" t="s">
        <v>20</v>
      </c>
      <c r="B452" t="s">
        <v>153</v>
      </c>
      <c r="C452" t="s">
        <v>156</v>
      </c>
      <c r="D452" s="32">
        <v>860</v>
      </c>
      <c r="E452" s="32">
        <v>0</v>
      </c>
      <c r="F452" s="32">
        <v>367303</v>
      </c>
      <c r="G452" s="32">
        <v>0</v>
      </c>
      <c r="H452" s="32">
        <v>742510</v>
      </c>
      <c r="I452" s="15" t="s">
        <v>189</v>
      </c>
    </row>
    <row r="453" spans="1:9" x14ac:dyDescent="0.2">
      <c r="A453" t="s">
        <v>18</v>
      </c>
      <c r="B453" t="s">
        <v>153</v>
      </c>
      <c r="C453" t="s">
        <v>156</v>
      </c>
      <c r="D453" s="32">
        <v>618.33333333333326</v>
      </c>
      <c r="E453" s="32">
        <v>0</v>
      </c>
      <c r="F453" s="32">
        <v>0</v>
      </c>
      <c r="G453" s="32">
        <v>0</v>
      </c>
      <c r="H453" s="32">
        <v>502600</v>
      </c>
      <c r="I453" s="15" t="s">
        <v>189</v>
      </c>
    </row>
    <row r="454" spans="1:9" x14ac:dyDescent="0.2">
      <c r="A454" t="s">
        <v>148</v>
      </c>
      <c r="B454" t="s">
        <v>154</v>
      </c>
      <c r="C454" t="s">
        <v>156</v>
      </c>
      <c r="D454" s="32">
        <v>3398.3833333333359</v>
      </c>
      <c r="E454" s="32">
        <v>0</v>
      </c>
      <c r="F454" s="32">
        <v>0</v>
      </c>
      <c r="G454" s="32">
        <v>0</v>
      </c>
      <c r="H454" s="32">
        <v>621840</v>
      </c>
      <c r="I454" s="15" t="s">
        <v>189</v>
      </c>
    </row>
    <row r="455" spans="1:9" x14ac:dyDescent="0.2">
      <c r="A455" t="s">
        <v>7</v>
      </c>
      <c r="B455" t="s">
        <v>150</v>
      </c>
      <c r="C455" t="s">
        <v>156</v>
      </c>
      <c r="D455" s="32">
        <v>2793.883333333335</v>
      </c>
      <c r="E455" s="32">
        <v>0</v>
      </c>
      <c r="F455" s="32">
        <v>0</v>
      </c>
      <c r="G455" s="32">
        <v>0</v>
      </c>
      <c r="H455" s="32">
        <v>1809776</v>
      </c>
      <c r="I455" s="15" t="s">
        <v>189</v>
      </c>
    </row>
    <row r="456" spans="1:9" x14ac:dyDescent="0.2">
      <c r="A456" t="s">
        <v>31</v>
      </c>
      <c r="B456" t="s">
        <v>152</v>
      </c>
      <c r="C456" t="s">
        <v>156</v>
      </c>
      <c r="D456" s="32">
        <v>2336.6000000000081</v>
      </c>
      <c r="E456" s="32">
        <v>19</v>
      </c>
      <c r="F456" s="32">
        <v>1413826</v>
      </c>
      <c r="G456" s="32">
        <v>2422</v>
      </c>
      <c r="H456" s="32">
        <v>1532212</v>
      </c>
      <c r="I456" s="15" t="s">
        <v>189</v>
      </c>
    </row>
    <row r="457" spans="1:9" x14ac:dyDescent="0.2">
      <c r="A457" t="s">
        <v>33</v>
      </c>
      <c r="B457" t="s">
        <v>152</v>
      </c>
      <c r="C457" t="s">
        <v>156</v>
      </c>
      <c r="D457" s="32">
        <v>184.16666666666663</v>
      </c>
      <c r="E457" s="32">
        <v>130</v>
      </c>
      <c r="F457" s="32">
        <v>271682</v>
      </c>
      <c r="G457" s="32">
        <v>57492</v>
      </c>
      <c r="H457" s="32">
        <v>119190</v>
      </c>
      <c r="I457" s="15" t="s">
        <v>189</v>
      </c>
    </row>
    <row r="458" spans="1:9" x14ac:dyDescent="0.2">
      <c r="A458" t="s">
        <v>9</v>
      </c>
      <c r="B458" t="s">
        <v>150</v>
      </c>
      <c r="C458" t="s">
        <v>156</v>
      </c>
      <c r="D458" s="32">
        <v>6306.2166666666653</v>
      </c>
      <c r="E458" s="32">
        <v>30815</v>
      </c>
      <c r="F458" s="32">
        <v>3655583</v>
      </c>
      <c r="G458" s="32">
        <v>0</v>
      </c>
      <c r="H458" s="32">
        <v>4051485</v>
      </c>
      <c r="I458" s="15" t="s">
        <v>189</v>
      </c>
    </row>
    <row r="459" spans="1:9" x14ac:dyDescent="0.2">
      <c r="A459" t="s">
        <v>63</v>
      </c>
      <c r="B459" t="s">
        <v>152</v>
      </c>
      <c r="C459" t="s">
        <v>156</v>
      </c>
      <c r="D459" s="32">
        <v>61.500000000000014</v>
      </c>
      <c r="E459" s="32">
        <v>0</v>
      </c>
      <c r="F459" s="32">
        <v>0</v>
      </c>
      <c r="G459" s="32">
        <v>0</v>
      </c>
      <c r="H459" s="32">
        <v>31590</v>
      </c>
      <c r="I459" s="15" t="s">
        <v>189</v>
      </c>
    </row>
    <row r="460" spans="1:9" x14ac:dyDescent="0.2">
      <c r="A460" t="s">
        <v>111</v>
      </c>
      <c r="B460" t="s">
        <v>154</v>
      </c>
      <c r="C460" t="s">
        <v>156</v>
      </c>
      <c r="D460" s="32">
        <v>417.28333333333325</v>
      </c>
      <c r="E460" s="32">
        <v>0</v>
      </c>
      <c r="F460" s="32">
        <v>0</v>
      </c>
      <c r="G460" s="32">
        <v>0</v>
      </c>
      <c r="H460" s="32">
        <v>327626</v>
      </c>
      <c r="I460" s="15" t="s">
        <v>189</v>
      </c>
    </row>
    <row r="461" spans="1:9" x14ac:dyDescent="0.2">
      <c r="A461" t="s">
        <v>172</v>
      </c>
      <c r="B461" t="s">
        <v>150</v>
      </c>
      <c r="C461" t="s">
        <v>156</v>
      </c>
      <c r="D461" s="32">
        <v>969.49999999999966</v>
      </c>
      <c r="E461" s="32">
        <v>42</v>
      </c>
      <c r="F461" s="32">
        <v>241750</v>
      </c>
      <c r="G461" s="32">
        <v>0</v>
      </c>
      <c r="H461" s="32">
        <v>525476</v>
      </c>
      <c r="I461" s="15" t="s">
        <v>189</v>
      </c>
    </row>
    <row r="462" spans="1:9" x14ac:dyDescent="0.2">
      <c r="A462" t="s">
        <v>28</v>
      </c>
      <c r="B462" t="s">
        <v>149</v>
      </c>
      <c r="C462" t="s">
        <v>156</v>
      </c>
      <c r="D462" s="32">
        <v>74.666666666666686</v>
      </c>
      <c r="E462" s="32">
        <v>0</v>
      </c>
      <c r="F462" s="32">
        <v>0</v>
      </c>
      <c r="G462" s="32">
        <v>0</v>
      </c>
      <c r="H462" s="32">
        <v>39815</v>
      </c>
      <c r="I462" s="15" t="s">
        <v>189</v>
      </c>
    </row>
    <row r="463" spans="1:9" x14ac:dyDescent="0.2">
      <c r="A463" t="s">
        <v>106</v>
      </c>
      <c r="B463" t="s">
        <v>153</v>
      </c>
      <c r="C463" t="s">
        <v>156</v>
      </c>
      <c r="D463" s="32">
        <v>180.58333333333331</v>
      </c>
      <c r="E463" s="32">
        <v>0</v>
      </c>
      <c r="F463" s="32">
        <v>6190</v>
      </c>
      <c r="G463" s="32">
        <v>0</v>
      </c>
      <c r="H463" s="32">
        <v>143208</v>
      </c>
      <c r="I463" s="15" t="s">
        <v>189</v>
      </c>
    </row>
    <row r="464" spans="1:9" x14ac:dyDescent="0.2">
      <c r="A464" t="s">
        <v>14</v>
      </c>
      <c r="B464" t="s">
        <v>150</v>
      </c>
      <c r="C464" t="s">
        <v>156</v>
      </c>
      <c r="D464" s="32">
        <v>362</v>
      </c>
      <c r="E464" s="32">
        <v>0</v>
      </c>
      <c r="F464" s="32">
        <v>0</v>
      </c>
      <c r="G464" s="32">
        <v>0</v>
      </c>
      <c r="H464" s="32">
        <v>275666</v>
      </c>
      <c r="I464" s="15" t="s">
        <v>189</v>
      </c>
    </row>
    <row r="465" spans="1:9" x14ac:dyDescent="0.2">
      <c r="A465" t="s">
        <v>13</v>
      </c>
      <c r="B465" t="s">
        <v>150</v>
      </c>
      <c r="C465" t="s">
        <v>156</v>
      </c>
      <c r="D465" s="32">
        <v>840.61666666666736</v>
      </c>
      <c r="E465" s="32">
        <v>0</v>
      </c>
      <c r="F465" s="32">
        <v>787720</v>
      </c>
      <c r="G465" s="32">
        <v>0</v>
      </c>
      <c r="H465" s="32">
        <v>609488</v>
      </c>
      <c r="I465" s="15" t="s">
        <v>189</v>
      </c>
    </row>
    <row r="466" spans="1:9" x14ac:dyDescent="0.2">
      <c r="A466" t="s">
        <v>60</v>
      </c>
      <c r="B466" t="s">
        <v>150</v>
      </c>
      <c r="C466" t="s">
        <v>156</v>
      </c>
      <c r="D466" s="32">
        <v>132.53333333333336</v>
      </c>
      <c r="E466" s="32">
        <v>0</v>
      </c>
      <c r="F466" s="32">
        <v>59915</v>
      </c>
      <c r="G466" s="32">
        <v>0</v>
      </c>
      <c r="H466" s="32">
        <v>62216</v>
      </c>
      <c r="I466" s="15" t="s">
        <v>189</v>
      </c>
    </row>
    <row r="467" spans="1:9" x14ac:dyDescent="0.2">
      <c r="A467" t="s">
        <v>64</v>
      </c>
      <c r="B467" t="s">
        <v>153</v>
      </c>
      <c r="C467" t="s">
        <v>156</v>
      </c>
      <c r="D467" s="32">
        <v>1260</v>
      </c>
      <c r="E467" s="32">
        <v>12007</v>
      </c>
      <c r="F467" s="32">
        <v>680685</v>
      </c>
      <c r="G467" s="32">
        <v>10643</v>
      </c>
      <c r="H467" s="32">
        <v>1087080</v>
      </c>
      <c r="I467" s="15" t="s">
        <v>189</v>
      </c>
    </row>
    <row r="468" spans="1:9" x14ac:dyDescent="0.2">
      <c r="A468" t="s">
        <v>3</v>
      </c>
      <c r="B468" t="s">
        <v>149</v>
      </c>
      <c r="C468" t="s">
        <v>156</v>
      </c>
      <c r="D468" s="32">
        <v>2789.9166666666692</v>
      </c>
      <c r="E468" s="32">
        <v>0</v>
      </c>
      <c r="F468" s="32">
        <v>960531.60000000009</v>
      </c>
      <c r="G468" s="32">
        <v>0</v>
      </c>
      <c r="H468" s="32">
        <v>2082297</v>
      </c>
      <c r="I468" s="15" t="s">
        <v>189</v>
      </c>
    </row>
    <row r="469" spans="1:9" x14ac:dyDescent="0.2">
      <c r="A469" t="s">
        <v>58</v>
      </c>
      <c r="B469" t="s">
        <v>150</v>
      </c>
      <c r="C469" t="s">
        <v>156</v>
      </c>
      <c r="D469" s="32">
        <v>841.24999999999989</v>
      </c>
      <c r="E469" s="32">
        <v>0</v>
      </c>
      <c r="F469" s="32">
        <v>443862</v>
      </c>
      <c r="G469" s="32">
        <v>0</v>
      </c>
      <c r="H469" s="32">
        <v>600213</v>
      </c>
      <c r="I469" s="15" t="s">
        <v>189</v>
      </c>
    </row>
    <row r="470" spans="1:9" x14ac:dyDescent="0.2">
      <c r="A470" t="s">
        <v>35</v>
      </c>
      <c r="B470" t="s">
        <v>153</v>
      </c>
      <c r="C470" t="s">
        <v>156</v>
      </c>
      <c r="D470" s="32">
        <v>640</v>
      </c>
      <c r="E470" s="32">
        <v>35841</v>
      </c>
      <c r="F470" s="32">
        <v>315193</v>
      </c>
      <c r="G470" s="32">
        <v>0</v>
      </c>
      <c r="H470" s="32">
        <v>585312</v>
      </c>
      <c r="I470" s="15" t="s">
        <v>189</v>
      </c>
    </row>
    <row r="471" spans="1:9" x14ac:dyDescent="0.2">
      <c r="A471" t="s">
        <v>32</v>
      </c>
      <c r="B471" t="s">
        <v>152</v>
      </c>
      <c r="C471" t="s">
        <v>156</v>
      </c>
      <c r="D471" s="32">
        <v>120</v>
      </c>
      <c r="E471" s="32">
        <v>0</v>
      </c>
      <c r="F471" s="32">
        <v>100333</v>
      </c>
      <c r="G471" s="32">
        <v>0</v>
      </c>
      <c r="H471" s="32">
        <v>75300</v>
      </c>
      <c r="I471" s="15" t="s">
        <v>189</v>
      </c>
    </row>
    <row r="472" spans="1:9" x14ac:dyDescent="0.2">
      <c r="A472" t="s">
        <v>62</v>
      </c>
      <c r="B472" t="s">
        <v>152</v>
      </c>
      <c r="C472" t="s">
        <v>156</v>
      </c>
      <c r="D472" s="32">
        <v>629</v>
      </c>
      <c r="E472" s="32">
        <v>0</v>
      </c>
      <c r="F472" s="32">
        <v>27731</v>
      </c>
      <c r="G472" s="32">
        <v>90</v>
      </c>
      <c r="H472" s="32">
        <v>484522</v>
      </c>
      <c r="I472" s="15" t="s">
        <v>189</v>
      </c>
    </row>
    <row r="473" spans="1:9" x14ac:dyDescent="0.2">
      <c r="A473" t="s">
        <v>112</v>
      </c>
      <c r="B473" t="s">
        <v>152</v>
      </c>
      <c r="C473" t="s">
        <v>156</v>
      </c>
      <c r="D473" s="32">
        <v>180</v>
      </c>
      <c r="E473" s="32">
        <v>0</v>
      </c>
      <c r="F473" s="32">
        <v>125710</v>
      </c>
      <c r="G473" s="32">
        <v>0</v>
      </c>
      <c r="H473" s="32">
        <v>136320</v>
      </c>
      <c r="I473" s="15" t="s">
        <v>189</v>
      </c>
    </row>
    <row r="474" spans="1:9" x14ac:dyDescent="0.2">
      <c r="A474" t="s">
        <v>19</v>
      </c>
      <c r="B474" t="s">
        <v>152</v>
      </c>
      <c r="C474" t="s">
        <v>156</v>
      </c>
      <c r="D474" s="32">
        <v>792</v>
      </c>
      <c r="E474" s="32">
        <v>0</v>
      </c>
      <c r="F474" s="32">
        <v>434369</v>
      </c>
      <c r="G474" s="32">
        <v>123</v>
      </c>
      <c r="H474" s="32">
        <v>574416</v>
      </c>
      <c r="I474" s="15" t="s">
        <v>189</v>
      </c>
    </row>
    <row r="475" spans="1:9" x14ac:dyDescent="0.2">
      <c r="A475" t="s">
        <v>66</v>
      </c>
      <c r="B475" t="s">
        <v>153</v>
      </c>
      <c r="C475" t="s">
        <v>156</v>
      </c>
      <c r="D475" s="32">
        <v>1020</v>
      </c>
      <c r="E475" s="32">
        <v>17072</v>
      </c>
      <c r="F475" s="32">
        <v>708178</v>
      </c>
      <c r="G475" s="32">
        <v>0</v>
      </c>
      <c r="H475" s="32">
        <v>986700</v>
      </c>
      <c r="I475" s="15" t="s">
        <v>189</v>
      </c>
    </row>
    <row r="476" spans="1:9" x14ac:dyDescent="0.2">
      <c r="A476" t="s">
        <v>99</v>
      </c>
      <c r="B476" t="s">
        <v>153</v>
      </c>
      <c r="C476" t="s">
        <v>156</v>
      </c>
      <c r="D476" s="32">
        <v>425</v>
      </c>
      <c r="E476" s="32">
        <v>0</v>
      </c>
      <c r="F476" s="32">
        <v>0</v>
      </c>
      <c r="G476" s="32">
        <v>0</v>
      </c>
      <c r="H476" s="32">
        <v>324462</v>
      </c>
      <c r="I476" s="15" t="s">
        <v>189</v>
      </c>
    </row>
    <row r="477" spans="1:9" x14ac:dyDescent="0.2">
      <c r="A477" t="s">
        <v>188</v>
      </c>
      <c r="B477" t="s">
        <v>153</v>
      </c>
      <c r="C477" t="s">
        <v>156</v>
      </c>
      <c r="D477" s="32">
        <v>56</v>
      </c>
      <c r="E477" s="32">
        <v>0</v>
      </c>
      <c r="F477" s="32">
        <v>0</v>
      </c>
      <c r="G477" s="32">
        <v>0</v>
      </c>
      <c r="H477" s="32">
        <v>33348</v>
      </c>
      <c r="I477" s="15" t="s">
        <v>189</v>
      </c>
    </row>
    <row r="478" spans="1:9" x14ac:dyDescent="0.2">
      <c r="A478" t="s">
        <v>29</v>
      </c>
      <c r="B478" t="s">
        <v>149</v>
      </c>
      <c r="C478" t="s">
        <v>156</v>
      </c>
      <c r="D478" s="32">
        <v>378.58333333333326</v>
      </c>
      <c r="E478" s="32">
        <v>0</v>
      </c>
      <c r="F478" s="32">
        <v>0</v>
      </c>
      <c r="G478" s="32">
        <v>0</v>
      </c>
      <c r="H478" s="32">
        <v>259353</v>
      </c>
      <c r="I478" s="15" t="s">
        <v>189</v>
      </c>
    </row>
    <row r="479" spans="1:9" x14ac:dyDescent="0.2">
      <c r="A479" t="s">
        <v>59</v>
      </c>
      <c r="B479" t="s">
        <v>150</v>
      </c>
      <c r="C479" t="s">
        <v>156</v>
      </c>
      <c r="D479" s="32">
        <v>1568.5000000000111</v>
      </c>
      <c r="E479" s="32">
        <v>14</v>
      </c>
      <c r="F479" s="32">
        <v>640787</v>
      </c>
      <c r="G479" s="32">
        <v>0</v>
      </c>
      <c r="H479" s="32">
        <v>860471</v>
      </c>
      <c r="I479" s="15" t="s">
        <v>189</v>
      </c>
    </row>
    <row r="480" spans="1:9" x14ac:dyDescent="0.2">
      <c r="A480" t="s">
        <v>38</v>
      </c>
      <c r="B480" t="s">
        <v>150</v>
      </c>
      <c r="C480" t="s">
        <v>156</v>
      </c>
      <c r="D480" s="32">
        <v>451.41666666666663</v>
      </c>
      <c r="E480" s="32">
        <v>0</v>
      </c>
      <c r="F480" s="32">
        <v>330082</v>
      </c>
      <c r="G480" s="32">
        <v>0</v>
      </c>
      <c r="H480" s="32">
        <v>291999</v>
      </c>
      <c r="I480" s="15" t="s">
        <v>189</v>
      </c>
    </row>
    <row r="481" spans="1:9" x14ac:dyDescent="0.2">
      <c r="A481" t="s">
        <v>48</v>
      </c>
      <c r="B481" t="s">
        <v>153</v>
      </c>
      <c r="C481" t="s">
        <v>156</v>
      </c>
      <c r="D481" s="32">
        <v>253.93333333333337</v>
      </c>
      <c r="E481" s="32">
        <v>0</v>
      </c>
      <c r="F481" s="32">
        <v>70900</v>
      </c>
      <c r="G481" s="32">
        <v>0</v>
      </c>
      <c r="H481" s="32">
        <v>196862</v>
      </c>
      <c r="I481" s="15" t="s">
        <v>189</v>
      </c>
    </row>
    <row r="482" spans="1:9" x14ac:dyDescent="0.2">
      <c r="A482" t="s">
        <v>26</v>
      </c>
      <c r="B482" t="s">
        <v>153</v>
      </c>
      <c r="C482" t="s">
        <v>156</v>
      </c>
      <c r="D482" s="32">
        <v>220.89999999999998</v>
      </c>
      <c r="E482" s="32">
        <v>0</v>
      </c>
      <c r="F482" s="32">
        <v>3895</v>
      </c>
      <c r="G482" s="32">
        <v>0</v>
      </c>
      <c r="H482" s="32">
        <v>175032</v>
      </c>
      <c r="I482" s="15" t="s">
        <v>189</v>
      </c>
    </row>
    <row r="483" spans="1:9" x14ac:dyDescent="0.2">
      <c r="A483" t="s">
        <v>110</v>
      </c>
      <c r="B483" t="s">
        <v>154</v>
      </c>
      <c r="C483" t="s">
        <v>156</v>
      </c>
      <c r="D483" s="32">
        <v>525.3333333333336</v>
      </c>
      <c r="E483" s="32">
        <v>0</v>
      </c>
      <c r="F483" s="32">
        <v>0</v>
      </c>
      <c r="G483" s="32">
        <v>0</v>
      </c>
      <c r="H483" s="32">
        <v>452352</v>
      </c>
      <c r="I483" s="15" t="s">
        <v>189</v>
      </c>
    </row>
    <row r="484" spans="1:9" x14ac:dyDescent="0.2">
      <c r="A484" t="s">
        <v>88</v>
      </c>
      <c r="B484" t="s">
        <v>150</v>
      </c>
      <c r="C484" t="s">
        <v>156</v>
      </c>
      <c r="D484" s="32">
        <v>1873.8333333333346</v>
      </c>
      <c r="E484" s="32">
        <v>0</v>
      </c>
      <c r="F484" s="32">
        <v>0</v>
      </c>
      <c r="G484" s="32">
        <v>0</v>
      </c>
      <c r="H484" s="32">
        <v>1299420</v>
      </c>
      <c r="I484" s="15" t="s">
        <v>189</v>
      </c>
    </row>
    <row r="485" spans="1:9" x14ac:dyDescent="0.2">
      <c r="A485" t="s">
        <v>109</v>
      </c>
      <c r="B485" t="s">
        <v>150</v>
      </c>
      <c r="C485" t="s">
        <v>156</v>
      </c>
      <c r="D485" s="32">
        <v>2787.7166666666631</v>
      </c>
      <c r="E485" s="32">
        <v>0</v>
      </c>
      <c r="F485" s="32">
        <v>1781460</v>
      </c>
      <c r="G485" s="32">
        <v>0</v>
      </c>
      <c r="H485" s="32">
        <v>1817915</v>
      </c>
      <c r="I485" s="15" t="s">
        <v>189</v>
      </c>
    </row>
    <row r="486" spans="1:9" x14ac:dyDescent="0.2">
      <c r="A486" t="s">
        <v>16</v>
      </c>
      <c r="B486" t="s">
        <v>150</v>
      </c>
      <c r="C486" t="s">
        <v>156</v>
      </c>
      <c r="D486" s="32">
        <v>776.78333333333342</v>
      </c>
      <c r="E486" s="32">
        <v>0</v>
      </c>
      <c r="F486" s="32">
        <v>476133</v>
      </c>
      <c r="G486" s="32">
        <v>0</v>
      </c>
      <c r="H486" s="32">
        <v>457169</v>
      </c>
      <c r="I486" s="15" t="s">
        <v>189</v>
      </c>
    </row>
    <row r="487" spans="1:9" x14ac:dyDescent="0.2">
      <c r="A487" t="s">
        <v>69</v>
      </c>
      <c r="B487" t="s">
        <v>151</v>
      </c>
      <c r="C487" t="s">
        <v>156</v>
      </c>
      <c r="D487" s="32">
        <v>580.78333333333285</v>
      </c>
      <c r="E487" s="32">
        <v>0</v>
      </c>
      <c r="F487" s="32">
        <v>399471</v>
      </c>
      <c r="G487" s="32">
        <v>0</v>
      </c>
      <c r="H487" s="32">
        <v>505204</v>
      </c>
      <c r="I487" s="15" t="s">
        <v>189</v>
      </c>
    </row>
    <row r="488" spans="1:9" x14ac:dyDescent="0.2">
      <c r="A488" t="s">
        <v>36</v>
      </c>
      <c r="B488" t="s">
        <v>152</v>
      </c>
      <c r="C488" t="s">
        <v>156</v>
      </c>
      <c r="D488" s="32">
        <v>232</v>
      </c>
      <c r="E488" s="32">
        <v>6390</v>
      </c>
      <c r="F488" s="32">
        <v>137252</v>
      </c>
      <c r="G488" s="32">
        <v>0</v>
      </c>
      <c r="H488" s="32">
        <v>143245</v>
      </c>
      <c r="I488" s="15" t="s">
        <v>189</v>
      </c>
    </row>
    <row r="489" spans="1:9" x14ac:dyDescent="0.2">
      <c r="A489" t="s">
        <v>51</v>
      </c>
      <c r="B489" t="s">
        <v>152</v>
      </c>
      <c r="C489" t="s">
        <v>156</v>
      </c>
      <c r="D489" s="32">
        <v>285</v>
      </c>
      <c r="E489" s="32">
        <v>1315</v>
      </c>
      <c r="F489" s="32">
        <v>97972</v>
      </c>
      <c r="G489" s="32">
        <v>0</v>
      </c>
      <c r="H489" s="32">
        <v>250219</v>
      </c>
      <c r="I489" s="15" t="s">
        <v>189</v>
      </c>
    </row>
    <row r="490" spans="1:9" x14ac:dyDescent="0.2">
      <c r="A490" t="s">
        <v>79</v>
      </c>
      <c r="B490" t="s">
        <v>152</v>
      </c>
      <c r="C490" t="s">
        <v>156</v>
      </c>
      <c r="D490" s="32">
        <v>646</v>
      </c>
      <c r="E490" s="32">
        <v>0</v>
      </c>
      <c r="F490" s="32">
        <v>239902</v>
      </c>
      <c r="G490" s="32">
        <v>37</v>
      </c>
      <c r="H490" s="32">
        <v>498100</v>
      </c>
      <c r="I490" s="15" t="s">
        <v>189</v>
      </c>
    </row>
    <row r="491" spans="1:9" x14ac:dyDescent="0.2">
      <c r="A491" t="s">
        <v>190</v>
      </c>
      <c r="B491" t="s">
        <v>153</v>
      </c>
      <c r="C491" t="s">
        <v>156</v>
      </c>
      <c r="D491" s="32">
        <v>506.25</v>
      </c>
      <c r="E491" s="32">
        <v>0</v>
      </c>
      <c r="F491" s="32">
        <v>166745</v>
      </c>
      <c r="G491" s="32">
        <v>0</v>
      </c>
      <c r="H491" s="32">
        <v>392098</v>
      </c>
      <c r="I491" s="15" t="s">
        <v>189</v>
      </c>
    </row>
    <row r="492" spans="1:9" x14ac:dyDescent="0.2">
      <c r="A492" t="s">
        <v>89</v>
      </c>
      <c r="B492" t="s">
        <v>152</v>
      </c>
      <c r="C492" t="s">
        <v>156</v>
      </c>
      <c r="D492" s="32">
        <v>81</v>
      </c>
      <c r="E492" s="32">
        <v>0</v>
      </c>
      <c r="F492" s="32">
        <v>6275</v>
      </c>
      <c r="G492" s="32">
        <v>0</v>
      </c>
      <c r="H492" s="32">
        <v>33486</v>
      </c>
      <c r="I492" s="15" t="s">
        <v>189</v>
      </c>
    </row>
    <row r="493" spans="1:9" x14ac:dyDescent="0.2">
      <c r="A493" t="s">
        <v>22</v>
      </c>
      <c r="B493" t="s">
        <v>153</v>
      </c>
      <c r="C493" t="s">
        <v>156</v>
      </c>
      <c r="D493" s="32">
        <v>189.76666666666665</v>
      </c>
      <c r="E493" s="32">
        <v>0</v>
      </c>
      <c r="F493" s="32">
        <v>57220</v>
      </c>
      <c r="G493" s="32">
        <v>0</v>
      </c>
      <c r="H493" s="32">
        <v>149535</v>
      </c>
      <c r="I493" s="15" t="s">
        <v>189</v>
      </c>
    </row>
    <row r="494" spans="1:9" x14ac:dyDescent="0.2">
      <c r="A494" t="s">
        <v>21</v>
      </c>
      <c r="B494" t="s">
        <v>153</v>
      </c>
      <c r="C494" t="s">
        <v>156</v>
      </c>
      <c r="D494" s="32">
        <v>275.75</v>
      </c>
      <c r="E494" s="32">
        <v>0</v>
      </c>
      <c r="F494" s="32">
        <v>89620</v>
      </c>
      <c r="G494" s="32">
        <v>0</v>
      </c>
      <c r="H494" s="32">
        <v>215176</v>
      </c>
      <c r="I494" s="15" t="s">
        <v>189</v>
      </c>
    </row>
    <row r="495" spans="1:9" x14ac:dyDescent="0.2">
      <c r="A495" t="s">
        <v>90</v>
      </c>
      <c r="B495" t="s">
        <v>150</v>
      </c>
      <c r="C495" t="s">
        <v>156</v>
      </c>
      <c r="D495" s="32">
        <v>7471.8999999999869</v>
      </c>
      <c r="E495" s="32">
        <v>2866</v>
      </c>
      <c r="F495" s="32">
        <v>3989348</v>
      </c>
      <c r="G495" s="32">
        <v>0</v>
      </c>
      <c r="H495" s="32">
        <v>5559125</v>
      </c>
      <c r="I495" s="15" t="s">
        <v>189</v>
      </c>
    </row>
    <row r="496" spans="1:9" x14ac:dyDescent="0.2">
      <c r="A496" t="s">
        <v>15</v>
      </c>
      <c r="B496" t="s">
        <v>150</v>
      </c>
      <c r="C496" t="s">
        <v>156</v>
      </c>
      <c r="D496" s="32">
        <v>307</v>
      </c>
      <c r="E496" s="32">
        <v>0</v>
      </c>
      <c r="F496" s="32">
        <v>0</v>
      </c>
      <c r="G496" s="32">
        <v>0</v>
      </c>
      <c r="H496" s="32">
        <v>220427</v>
      </c>
      <c r="I496" s="15" t="s">
        <v>189</v>
      </c>
    </row>
    <row r="497" spans="1:9" x14ac:dyDescent="0.2">
      <c r="A497" t="s">
        <v>30</v>
      </c>
      <c r="B497" t="s">
        <v>150</v>
      </c>
      <c r="C497" t="s">
        <v>156</v>
      </c>
      <c r="D497" s="32">
        <v>3805.2166666666658</v>
      </c>
      <c r="E497" s="32">
        <v>0</v>
      </c>
      <c r="F497" s="32">
        <v>1716334</v>
      </c>
      <c r="G497" s="32">
        <v>0</v>
      </c>
      <c r="H497" s="32">
        <v>2317865</v>
      </c>
      <c r="I497" s="15" t="s">
        <v>189</v>
      </c>
    </row>
    <row r="498" spans="1:9" x14ac:dyDescent="0.2">
      <c r="A498" t="s">
        <v>73</v>
      </c>
      <c r="B498" t="s">
        <v>150</v>
      </c>
      <c r="C498" t="s">
        <v>156</v>
      </c>
      <c r="D498" s="32">
        <v>499.683333333333</v>
      </c>
      <c r="E498" s="32">
        <v>0</v>
      </c>
      <c r="F498" s="32">
        <v>321660</v>
      </c>
      <c r="G498" s="32">
        <v>0</v>
      </c>
      <c r="H498" s="32">
        <v>367933</v>
      </c>
      <c r="I498" s="15" t="s">
        <v>189</v>
      </c>
    </row>
    <row r="499" spans="1:9" x14ac:dyDescent="0.2">
      <c r="A499" t="s">
        <v>81</v>
      </c>
      <c r="B499" t="s">
        <v>153</v>
      </c>
      <c r="C499" t="s">
        <v>156</v>
      </c>
      <c r="D499" s="32">
        <v>245</v>
      </c>
      <c r="E499" s="32">
        <v>0</v>
      </c>
      <c r="F499" s="32">
        <v>200610</v>
      </c>
      <c r="G499" s="32">
        <v>0</v>
      </c>
      <c r="H499" s="32">
        <v>207610</v>
      </c>
      <c r="I499" s="15" t="s">
        <v>189</v>
      </c>
    </row>
    <row r="500" spans="1:9" x14ac:dyDescent="0.2">
      <c r="A500" t="s">
        <v>5</v>
      </c>
      <c r="B500" t="s">
        <v>149</v>
      </c>
      <c r="C500" t="s">
        <v>156</v>
      </c>
      <c r="D500" s="32">
        <v>191.95000000000005</v>
      </c>
      <c r="E500" s="32">
        <v>0</v>
      </c>
      <c r="F500" s="32">
        <v>261223</v>
      </c>
      <c r="G500" s="32">
        <v>0</v>
      </c>
      <c r="H500" s="32">
        <v>240904</v>
      </c>
      <c r="I500" s="15" t="s">
        <v>189</v>
      </c>
    </row>
    <row r="501" spans="1:9" x14ac:dyDescent="0.2">
      <c r="A501" t="s">
        <v>50</v>
      </c>
      <c r="B501" t="s">
        <v>149</v>
      </c>
      <c r="C501" t="s">
        <v>156</v>
      </c>
      <c r="D501" s="32">
        <v>4105.9833333333327</v>
      </c>
      <c r="E501" s="32">
        <v>0</v>
      </c>
      <c r="F501" s="32">
        <v>0</v>
      </c>
      <c r="G501" s="32">
        <v>0</v>
      </c>
      <c r="H501" s="32">
        <v>3105419</v>
      </c>
      <c r="I501" s="15" t="s">
        <v>189</v>
      </c>
    </row>
    <row r="502" spans="1:9" x14ac:dyDescent="0.2">
      <c r="A502" t="s">
        <v>37</v>
      </c>
      <c r="B502" t="s">
        <v>151</v>
      </c>
      <c r="C502" t="s">
        <v>156</v>
      </c>
      <c r="D502" s="32">
        <v>869.08333333333269</v>
      </c>
      <c r="E502" s="32">
        <v>0</v>
      </c>
      <c r="F502" s="32">
        <v>520416</v>
      </c>
      <c r="G502" s="32">
        <v>0</v>
      </c>
      <c r="H502" s="32">
        <v>753820</v>
      </c>
      <c r="I502" s="15" t="s">
        <v>189</v>
      </c>
    </row>
    <row r="503" spans="1:9" x14ac:dyDescent="0.2">
      <c r="A503" t="s">
        <v>41</v>
      </c>
      <c r="B503" t="s">
        <v>153</v>
      </c>
      <c r="C503" t="s">
        <v>156</v>
      </c>
      <c r="D503" s="32">
        <v>160.76666666666665</v>
      </c>
      <c r="E503" s="32">
        <v>0</v>
      </c>
      <c r="F503" s="32">
        <v>68711</v>
      </c>
      <c r="G503" s="32">
        <v>0</v>
      </c>
      <c r="H503" s="32">
        <v>132928</v>
      </c>
      <c r="I503" s="15" t="s">
        <v>189</v>
      </c>
    </row>
    <row r="504" spans="1:9" x14ac:dyDescent="0.2">
      <c r="A504" t="s">
        <v>108</v>
      </c>
      <c r="B504" t="s">
        <v>149</v>
      </c>
      <c r="C504" t="s">
        <v>155</v>
      </c>
      <c r="D504" s="32">
        <v>318.48333333333329</v>
      </c>
      <c r="E504" s="32">
        <v>384</v>
      </c>
      <c r="F504" s="32">
        <v>91729.200000000012</v>
      </c>
      <c r="G504" s="32">
        <v>1020.9999999999999</v>
      </c>
      <c r="H504" s="32">
        <v>132277</v>
      </c>
      <c r="I504" s="15" t="s">
        <v>191</v>
      </c>
    </row>
    <row r="505" spans="1:9" x14ac:dyDescent="0.2">
      <c r="A505" t="s">
        <v>4</v>
      </c>
      <c r="B505" t="s">
        <v>149</v>
      </c>
      <c r="C505" t="s">
        <v>155</v>
      </c>
      <c r="D505" s="32">
        <v>2926.6666666666674</v>
      </c>
      <c r="E505" s="32">
        <v>0</v>
      </c>
      <c r="F505" s="32">
        <v>358230</v>
      </c>
      <c r="G505" s="32">
        <v>0</v>
      </c>
      <c r="H505" s="32">
        <v>1112095</v>
      </c>
      <c r="I505" s="15" t="s">
        <v>191</v>
      </c>
    </row>
    <row r="506" spans="1:9" x14ac:dyDescent="0.2">
      <c r="A506" t="s">
        <v>2</v>
      </c>
      <c r="B506" t="s">
        <v>149</v>
      </c>
      <c r="C506" t="s">
        <v>155</v>
      </c>
      <c r="D506" s="32">
        <v>9246.8833333333405</v>
      </c>
      <c r="E506" s="32">
        <v>4629</v>
      </c>
      <c r="F506" s="32">
        <v>4958540</v>
      </c>
      <c r="G506" s="32">
        <v>0</v>
      </c>
      <c r="H506" s="32">
        <v>4613719</v>
      </c>
      <c r="I506" s="15" t="s">
        <v>191</v>
      </c>
    </row>
    <row r="507" spans="1:9" x14ac:dyDescent="0.2">
      <c r="A507" t="s">
        <v>1</v>
      </c>
      <c r="B507" t="s">
        <v>149</v>
      </c>
      <c r="C507" t="s">
        <v>155</v>
      </c>
      <c r="D507" s="32">
        <v>15500.38333333334</v>
      </c>
      <c r="E507" s="32">
        <v>376.28709999999995</v>
      </c>
      <c r="F507" s="32">
        <v>6549274.5664999867</v>
      </c>
      <c r="G507" s="32">
        <v>0</v>
      </c>
      <c r="H507" s="32">
        <v>6776503</v>
      </c>
      <c r="I507" s="15" t="s">
        <v>191</v>
      </c>
    </row>
    <row r="508" spans="1:9" x14ac:dyDescent="0.2">
      <c r="A508" t="s">
        <v>57</v>
      </c>
      <c r="B508" t="s">
        <v>149</v>
      </c>
      <c r="C508" t="s">
        <v>155</v>
      </c>
      <c r="D508" s="32">
        <v>84.5</v>
      </c>
      <c r="E508" s="32">
        <v>0</v>
      </c>
      <c r="F508" s="32">
        <v>0</v>
      </c>
      <c r="G508" s="32">
        <v>0</v>
      </c>
      <c r="H508" s="32">
        <v>32775</v>
      </c>
      <c r="I508" s="15" t="s">
        <v>191</v>
      </c>
    </row>
    <row r="509" spans="1:9" x14ac:dyDescent="0.2">
      <c r="A509" t="s">
        <v>28</v>
      </c>
      <c r="B509" t="s">
        <v>149</v>
      </c>
      <c r="C509" t="s">
        <v>155</v>
      </c>
      <c r="D509" s="32">
        <v>658.99999999999989</v>
      </c>
      <c r="E509" s="32">
        <v>0</v>
      </c>
      <c r="F509" s="32">
        <v>0</v>
      </c>
      <c r="G509" s="32">
        <v>0</v>
      </c>
      <c r="H509" s="32">
        <v>310076</v>
      </c>
      <c r="I509" s="15" t="s">
        <v>191</v>
      </c>
    </row>
    <row r="510" spans="1:9" x14ac:dyDescent="0.2">
      <c r="A510" t="s">
        <v>3</v>
      </c>
      <c r="B510" t="s">
        <v>149</v>
      </c>
      <c r="C510" t="s">
        <v>155</v>
      </c>
      <c r="D510" s="32">
        <v>10204.450000000017</v>
      </c>
      <c r="E510" s="32">
        <v>0</v>
      </c>
      <c r="F510" s="32">
        <v>7154508.1999999834</v>
      </c>
      <c r="G510" s="32">
        <v>0</v>
      </c>
      <c r="H510" s="32">
        <v>6720217</v>
      </c>
      <c r="I510" s="15" t="s">
        <v>191</v>
      </c>
    </row>
    <row r="511" spans="1:9" x14ac:dyDescent="0.2">
      <c r="A511" t="s">
        <v>6</v>
      </c>
      <c r="B511" t="s">
        <v>149</v>
      </c>
      <c r="C511" t="s">
        <v>155</v>
      </c>
      <c r="D511" s="32">
        <v>2284.5000000000005</v>
      </c>
      <c r="E511" s="32">
        <v>0</v>
      </c>
      <c r="F511" s="32">
        <v>0</v>
      </c>
      <c r="G511" s="32">
        <v>0</v>
      </c>
      <c r="H511" s="32">
        <v>1457043</v>
      </c>
      <c r="I511" s="15" t="s">
        <v>191</v>
      </c>
    </row>
    <row r="512" spans="1:9" x14ac:dyDescent="0.2">
      <c r="A512" t="s">
        <v>29</v>
      </c>
      <c r="B512" t="s">
        <v>149</v>
      </c>
      <c r="C512" t="s">
        <v>155</v>
      </c>
      <c r="D512" s="32">
        <v>41.083333333333329</v>
      </c>
      <c r="E512" s="32">
        <v>0</v>
      </c>
      <c r="F512" s="32">
        <v>0</v>
      </c>
      <c r="G512" s="32">
        <v>0</v>
      </c>
      <c r="H512" s="32">
        <v>14720</v>
      </c>
      <c r="I512" s="15" t="s">
        <v>191</v>
      </c>
    </row>
    <row r="513" spans="1:9" x14ac:dyDescent="0.2">
      <c r="A513" t="s">
        <v>170</v>
      </c>
      <c r="B513" t="s">
        <v>149</v>
      </c>
      <c r="C513" t="s">
        <v>155</v>
      </c>
      <c r="D513" s="32">
        <v>796.83333333333348</v>
      </c>
      <c r="E513" s="32">
        <v>0</v>
      </c>
      <c r="F513" s="32">
        <v>243884</v>
      </c>
      <c r="G513" s="32">
        <v>0</v>
      </c>
      <c r="H513" s="32">
        <v>336006</v>
      </c>
      <c r="I513" s="15" t="s">
        <v>191</v>
      </c>
    </row>
    <row r="514" spans="1:9" x14ac:dyDescent="0.2">
      <c r="A514" t="s">
        <v>5</v>
      </c>
      <c r="B514" t="s">
        <v>149</v>
      </c>
      <c r="C514" t="s">
        <v>155</v>
      </c>
      <c r="D514" s="32">
        <v>1374.5166666666635</v>
      </c>
      <c r="E514" s="32">
        <v>0</v>
      </c>
      <c r="F514" s="32">
        <v>4002133</v>
      </c>
      <c r="G514" s="32">
        <v>0</v>
      </c>
      <c r="H514" s="32">
        <v>3293540</v>
      </c>
      <c r="I514" s="15" t="s">
        <v>191</v>
      </c>
    </row>
    <row r="515" spans="1:9" x14ac:dyDescent="0.2">
      <c r="A515" t="s">
        <v>50</v>
      </c>
      <c r="B515" t="s">
        <v>149</v>
      </c>
      <c r="C515" t="s">
        <v>155</v>
      </c>
      <c r="D515" s="32">
        <v>13138.683333333362</v>
      </c>
      <c r="E515" s="32">
        <v>0</v>
      </c>
      <c r="F515" s="32">
        <v>0</v>
      </c>
      <c r="G515" s="32">
        <v>0</v>
      </c>
      <c r="H515" s="32">
        <v>9424803</v>
      </c>
      <c r="I515" s="15" t="s">
        <v>191</v>
      </c>
    </row>
    <row r="516" spans="1:9" x14ac:dyDescent="0.2">
      <c r="A516" t="s">
        <v>61</v>
      </c>
      <c r="B516" t="s">
        <v>150</v>
      </c>
      <c r="C516" t="s">
        <v>156</v>
      </c>
      <c r="D516" s="32">
        <v>139.5</v>
      </c>
      <c r="E516" s="32">
        <v>0</v>
      </c>
      <c r="F516" s="32">
        <v>0</v>
      </c>
      <c r="G516" s="32">
        <v>0</v>
      </c>
      <c r="H516" s="32">
        <v>210029</v>
      </c>
      <c r="I516" s="15" t="s">
        <v>191</v>
      </c>
    </row>
    <row r="517" spans="1:9" x14ac:dyDescent="0.2">
      <c r="A517" t="s">
        <v>147</v>
      </c>
      <c r="B517" t="s">
        <v>152</v>
      </c>
      <c r="C517" t="s">
        <v>156</v>
      </c>
      <c r="D517" s="32">
        <v>373.3333333333332</v>
      </c>
      <c r="E517" s="32">
        <v>0</v>
      </c>
      <c r="F517" s="32">
        <v>132888</v>
      </c>
      <c r="G517" s="32">
        <v>0</v>
      </c>
      <c r="H517" s="32">
        <v>302280</v>
      </c>
      <c r="I517" s="15" t="s">
        <v>191</v>
      </c>
    </row>
    <row r="518" spans="1:9" x14ac:dyDescent="0.2">
      <c r="A518" t="s">
        <v>4</v>
      </c>
      <c r="B518" t="s">
        <v>149</v>
      </c>
      <c r="C518" t="s">
        <v>156</v>
      </c>
      <c r="D518" s="32">
        <v>86.666666666666671</v>
      </c>
      <c r="E518" s="32">
        <v>0</v>
      </c>
      <c r="F518" s="32">
        <v>12730</v>
      </c>
      <c r="G518" s="32">
        <v>0</v>
      </c>
      <c r="H518" s="32">
        <v>39052</v>
      </c>
      <c r="I518" s="15" t="s">
        <v>191</v>
      </c>
    </row>
    <row r="519" spans="1:9" x14ac:dyDescent="0.2">
      <c r="A519" t="s">
        <v>2</v>
      </c>
      <c r="B519" t="s">
        <v>149</v>
      </c>
      <c r="C519" t="s">
        <v>156</v>
      </c>
      <c r="D519" s="32">
        <v>17296.983333333323</v>
      </c>
      <c r="E519" s="32">
        <v>40255</v>
      </c>
      <c r="F519" s="32">
        <v>7936508</v>
      </c>
      <c r="G519" s="32">
        <v>0</v>
      </c>
      <c r="H519" s="32">
        <v>11776003</v>
      </c>
      <c r="I519" s="15" t="s">
        <v>191</v>
      </c>
    </row>
    <row r="520" spans="1:9" x14ac:dyDescent="0.2">
      <c r="A520" t="s">
        <v>1</v>
      </c>
      <c r="B520" t="s">
        <v>149</v>
      </c>
      <c r="C520" t="s">
        <v>156</v>
      </c>
      <c r="D520" s="32">
        <v>3248.8166666666643</v>
      </c>
      <c r="E520" s="32">
        <v>91.1721</v>
      </c>
      <c r="F520" s="32">
        <v>1458126.7239999992</v>
      </c>
      <c r="G520" s="32">
        <v>0</v>
      </c>
      <c r="H520" s="32">
        <v>1706443</v>
      </c>
      <c r="I520" s="15" t="s">
        <v>191</v>
      </c>
    </row>
    <row r="521" spans="1:9" x14ac:dyDescent="0.2">
      <c r="A521" t="s">
        <v>76</v>
      </c>
      <c r="B521" t="s">
        <v>152</v>
      </c>
      <c r="C521" t="s">
        <v>156</v>
      </c>
      <c r="D521" s="32">
        <v>273.8333333333332</v>
      </c>
      <c r="E521" s="32">
        <v>0</v>
      </c>
      <c r="F521" s="32">
        <v>101778</v>
      </c>
      <c r="G521" s="32">
        <v>349</v>
      </c>
      <c r="H521" s="32">
        <v>195796</v>
      </c>
      <c r="I521" s="15" t="s">
        <v>191</v>
      </c>
    </row>
    <row r="522" spans="1:9" x14ac:dyDescent="0.2">
      <c r="A522" t="s">
        <v>57</v>
      </c>
      <c r="B522" t="s">
        <v>149</v>
      </c>
      <c r="C522" t="s">
        <v>156</v>
      </c>
      <c r="D522" s="32">
        <v>521.41666666666663</v>
      </c>
      <c r="E522" s="32">
        <v>0</v>
      </c>
      <c r="F522" s="32">
        <v>0</v>
      </c>
      <c r="G522" s="32">
        <v>0</v>
      </c>
      <c r="H522" s="32">
        <v>359442</v>
      </c>
      <c r="I522" s="15" t="s">
        <v>191</v>
      </c>
    </row>
    <row r="523" spans="1:9" x14ac:dyDescent="0.2">
      <c r="A523" t="s">
        <v>67</v>
      </c>
      <c r="B523" t="s">
        <v>153</v>
      </c>
      <c r="C523" t="s">
        <v>156</v>
      </c>
      <c r="D523" s="32">
        <v>156</v>
      </c>
      <c r="E523" s="32">
        <v>0</v>
      </c>
      <c r="F523" s="32">
        <v>85746</v>
      </c>
      <c r="G523" s="32">
        <v>0</v>
      </c>
      <c r="H523" s="32">
        <v>135312</v>
      </c>
      <c r="I523" s="15" t="s">
        <v>191</v>
      </c>
    </row>
    <row r="524" spans="1:9" x14ac:dyDescent="0.2">
      <c r="A524" t="s">
        <v>12</v>
      </c>
      <c r="B524" t="s">
        <v>151</v>
      </c>
      <c r="C524" t="s">
        <v>156</v>
      </c>
      <c r="D524" s="32">
        <v>1782.4833333333393</v>
      </c>
      <c r="E524" s="32">
        <v>17431</v>
      </c>
      <c r="F524" s="32">
        <v>1114529</v>
      </c>
      <c r="G524" s="32">
        <v>0</v>
      </c>
      <c r="H524" s="32">
        <v>1237914</v>
      </c>
      <c r="I524" s="15" t="s">
        <v>191</v>
      </c>
    </row>
    <row r="525" spans="1:9" x14ac:dyDescent="0.2">
      <c r="A525" t="s">
        <v>39</v>
      </c>
      <c r="B525" t="s">
        <v>153</v>
      </c>
      <c r="C525" t="s">
        <v>156</v>
      </c>
      <c r="D525" s="32">
        <v>480.61666666666667</v>
      </c>
      <c r="E525" s="32">
        <v>0</v>
      </c>
      <c r="F525" s="32">
        <v>17816</v>
      </c>
      <c r="G525" s="32">
        <v>0</v>
      </c>
      <c r="H525" s="32">
        <v>414596</v>
      </c>
      <c r="I525" s="15" t="s">
        <v>191</v>
      </c>
    </row>
    <row r="526" spans="1:9" x14ac:dyDescent="0.2">
      <c r="A526" t="s">
        <v>65</v>
      </c>
      <c r="B526" t="s">
        <v>153</v>
      </c>
      <c r="C526" t="s">
        <v>156</v>
      </c>
      <c r="D526" s="32">
        <v>855</v>
      </c>
      <c r="E526" s="32">
        <v>27643</v>
      </c>
      <c r="F526" s="32">
        <v>494449</v>
      </c>
      <c r="G526" s="32">
        <v>0</v>
      </c>
      <c r="H526" s="32">
        <v>780080</v>
      </c>
      <c r="I526" s="15" t="s">
        <v>191</v>
      </c>
    </row>
    <row r="527" spans="1:9" x14ac:dyDescent="0.2">
      <c r="A527" t="s">
        <v>68</v>
      </c>
      <c r="B527" t="s">
        <v>151</v>
      </c>
      <c r="C527" t="s">
        <v>156</v>
      </c>
      <c r="D527" s="32">
        <v>136.06666666666663</v>
      </c>
      <c r="E527" s="32">
        <v>0</v>
      </c>
      <c r="F527" s="32">
        <v>184675</v>
      </c>
      <c r="G527" s="32">
        <v>0</v>
      </c>
      <c r="H527" s="32">
        <v>117942</v>
      </c>
      <c r="I527" s="15" t="s">
        <v>191</v>
      </c>
    </row>
    <row r="528" spans="1:9" x14ac:dyDescent="0.2">
      <c r="A528" t="s">
        <v>10</v>
      </c>
      <c r="B528" t="s">
        <v>150</v>
      </c>
      <c r="C528" t="s">
        <v>156</v>
      </c>
      <c r="D528" s="32">
        <v>3374.5666666666734</v>
      </c>
      <c r="E528" s="32">
        <v>1923</v>
      </c>
      <c r="F528" s="32">
        <v>18779605</v>
      </c>
      <c r="G528" s="32">
        <v>0</v>
      </c>
      <c r="H528" s="32">
        <v>1390767</v>
      </c>
      <c r="I528" s="15" t="s">
        <v>191</v>
      </c>
    </row>
    <row r="529" spans="1:9" x14ac:dyDescent="0.2">
      <c r="A529" t="s">
        <v>8</v>
      </c>
      <c r="B529" t="s">
        <v>150</v>
      </c>
      <c r="C529" t="s">
        <v>156</v>
      </c>
      <c r="D529" s="32">
        <v>6762.8166666666593</v>
      </c>
      <c r="E529" s="32">
        <v>126195</v>
      </c>
      <c r="F529" s="32">
        <v>4020029</v>
      </c>
      <c r="G529" s="32">
        <v>0</v>
      </c>
      <c r="H529" s="32">
        <v>4028145</v>
      </c>
      <c r="I529" s="15" t="s">
        <v>191</v>
      </c>
    </row>
    <row r="530" spans="1:9" x14ac:dyDescent="0.2">
      <c r="A530" t="s">
        <v>17</v>
      </c>
      <c r="B530" t="s">
        <v>150</v>
      </c>
      <c r="C530" t="s">
        <v>156</v>
      </c>
      <c r="D530" s="32">
        <v>119.00000000000001</v>
      </c>
      <c r="E530" s="32">
        <v>0</v>
      </c>
      <c r="F530" s="32">
        <v>0</v>
      </c>
      <c r="G530" s="32">
        <v>0</v>
      </c>
      <c r="H530" s="32">
        <v>84094</v>
      </c>
      <c r="I530" s="15" t="s">
        <v>191</v>
      </c>
    </row>
    <row r="531" spans="1:9" x14ac:dyDescent="0.2">
      <c r="A531" t="s">
        <v>52</v>
      </c>
      <c r="B531" t="s">
        <v>150</v>
      </c>
      <c r="C531" t="s">
        <v>156</v>
      </c>
      <c r="D531" s="32">
        <v>132</v>
      </c>
      <c r="E531" s="32">
        <v>0</v>
      </c>
      <c r="F531" s="32">
        <v>0</v>
      </c>
      <c r="G531" s="32">
        <v>0</v>
      </c>
      <c r="H531" s="32">
        <v>82110</v>
      </c>
      <c r="I531" s="15" t="s">
        <v>191</v>
      </c>
    </row>
    <row r="532" spans="1:9" x14ac:dyDescent="0.2">
      <c r="A532" t="s">
        <v>34</v>
      </c>
      <c r="B532" t="s">
        <v>152</v>
      </c>
      <c r="C532" t="s">
        <v>156</v>
      </c>
      <c r="D532" s="32">
        <v>1142.833333333333</v>
      </c>
      <c r="E532" s="32">
        <v>1262</v>
      </c>
      <c r="F532" s="32">
        <v>665618</v>
      </c>
      <c r="G532" s="32">
        <v>0</v>
      </c>
      <c r="H532" s="32">
        <v>830492</v>
      </c>
      <c r="I532" s="15" t="s">
        <v>191</v>
      </c>
    </row>
    <row r="533" spans="1:9" x14ac:dyDescent="0.2">
      <c r="A533" t="s">
        <v>56</v>
      </c>
      <c r="B533" t="s">
        <v>153</v>
      </c>
      <c r="C533" t="s">
        <v>156</v>
      </c>
      <c r="D533" s="32">
        <v>174.38333333333333</v>
      </c>
      <c r="E533" s="32">
        <v>0</v>
      </c>
      <c r="F533" s="32">
        <v>52648</v>
      </c>
      <c r="G533" s="32">
        <v>0</v>
      </c>
      <c r="H533" s="32">
        <v>127742</v>
      </c>
      <c r="I533" s="15" t="s">
        <v>191</v>
      </c>
    </row>
    <row r="534" spans="1:9" x14ac:dyDescent="0.2">
      <c r="A534" t="s">
        <v>20</v>
      </c>
      <c r="B534" t="s">
        <v>153</v>
      </c>
      <c r="C534" t="s">
        <v>156</v>
      </c>
      <c r="D534" s="32">
        <v>880</v>
      </c>
      <c r="E534" s="32">
        <v>100</v>
      </c>
      <c r="F534" s="32">
        <v>445212</v>
      </c>
      <c r="G534" s="32">
        <v>0</v>
      </c>
      <c r="H534" s="32">
        <v>760542</v>
      </c>
      <c r="I534" s="15" t="s">
        <v>191</v>
      </c>
    </row>
    <row r="535" spans="1:9" x14ac:dyDescent="0.2">
      <c r="A535" t="s">
        <v>18</v>
      </c>
      <c r="B535" t="s">
        <v>153</v>
      </c>
      <c r="C535" t="s">
        <v>156</v>
      </c>
      <c r="D535" s="32">
        <v>664.99999999999977</v>
      </c>
      <c r="E535" s="32">
        <v>0</v>
      </c>
      <c r="F535" s="32">
        <v>0</v>
      </c>
      <c r="G535" s="32">
        <v>0</v>
      </c>
      <c r="H535" s="32">
        <v>540882</v>
      </c>
      <c r="I535" s="15" t="s">
        <v>191</v>
      </c>
    </row>
    <row r="536" spans="1:9" x14ac:dyDescent="0.2">
      <c r="A536" t="s">
        <v>148</v>
      </c>
      <c r="B536" t="s">
        <v>154</v>
      </c>
      <c r="C536" t="s">
        <v>156</v>
      </c>
      <c r="D536" s="32">
        <v>3881.4333333333352</v>
      </c>
      <c r="E536" s="32">
        <v>0</v>
      </c>
      <c r="F536" s="32">
        <v>0</v>
      </c>
      <c r="G536" s="32">
        <v>0</v>
      </c>
      <c r="H536" s="32">
        <v>1255284</v>
      </c>
      <c r="I536" s="15" t="s">
        <v>191</v>
      </c>
    </row>
    <row r="537" spans="1:9" x14ac:dyDescent="0.2">
      <c r="A537" t="s">
        <v>7</v>
      </c>
      <c r="B537" t="s">
        <v>150</v>
      </c>
      <c r="C537" t="s">
        <v>156</v>
      </c>
      <c r="D537" s="32">
        <v>2756.733333333334</v>
      </c>
      <c r="E537" s="32">
        <v>0</v>
      </c>
      <c r="F537" s="32">
        <v>0</v>
      </c>
      <c r="G537" s="32">
        <v>0</v>
      </c>
      <c r="H537" s="32">
        <v>1816481</v>
      </c>
      <c r="I537" s="15" t="s">
        <v>191</v>
      </c>
    </row>
    <row r="538" spans="1:9" x14ac:dyDescent="0.2">
      <c r="A538" t="s">
        <v>31</v>
      </c>
      <c r="B538" t="s">
        <v>152</v>
      </c>
      <c r="C538" t="s">
        <v>156</v>
      </c>
      <c r="D538" s="32">
        <v>2440.0999999999758</v>
      </c>
      <c r="E538" s="32">
        <v>480</v>
      </c>
      <c r="F538" s="32">
        <v>1627805</v>
      </c>
      <c r="G538" s="32">
        <v>3853</v>
      </c>
      <c r="H538" s="32">
        <v>1620758</v>
      </c>
      <c r="I538" s="15" t="s">
        <v>191</v>
      </c>
    </row>
    <row r="539" spans="1:9" x14ac:dyDescent="0.2">
      <c r="A539" t="s">
        <v>33</v>
      </c>
      <c r="B539" t="s">
        <v>152</v>
      </c>
      <c r="C539" t="s">
        <v>156</v>
      </c>
      <c r="D539" s="32">
        <v>217.00000000000003</v>
      </c>
      <c r="E539" s="32">
        <v>176</v>
      </c>
      <c r="F539" s="32">
        <v>310291</v>
      </c>
      <c r="G539" s="32">
        <v>73169</v>
      </c>
      <c r="H539" s="32">
        <v>141484</v>
      </c>
      <c r="I539" s="15" t="s">
        <v>191</v>
      </c>
    </row>
    <row r="540" spans="1:9" x14ac:dyDescent="0.2">
      <c r="A540" t="s">
        <v>9</v>
      </c>
      <c r="B540" t="s">
        <v>150</v>
      </c>
      <c r="C540" t="s">
        <v>156</v>
      </c>
      <c r="D540" s="32">
        <v>6537.1666666666697</v>
      </c>
      <c r="E540" s="32">
        <v>24204</v>
      </c>
      <c r="F540" s="32">
        <v>4137424</v>
      </c>
      <c r="G540" s="32">
        <v>0</v>
      </c>
      <c r="H540" s="32">
        <v>4236861</v>
      </c>
      <c r="I540" s="15" t="s">
        <v>191</v>
      </c>
    </row>
    <row r="541" spans="1:9" x14ac:dyDescent="0.2">
      <c r="A541" t="s">
        <v>63</v>
      </c>
      <c r="B541" t="s">
        <v>152</v>
      </c>
      <c r="C541" t="s">
        <v>156</v>
      </c>
      <c r="D541" s="32">
        <v>74.34999999999998</v>
      </c>
      <c r="E541" s="32">
        <v>0</v>
      </c>
      <c r="F541" s="32">
        <v>0</v>
      </c>
      <c r="G541" s="32">
        <v>0</v>
      </c>
      <c r="H541" s="32">
        <v>38016</v>
      </c>
      <c r="I541" s="15" t="s">
        <v>191</v>
      </c>
    </row>
    <row r="542" spans="1:9" x14ac:dyDescent="0.2">
      <c r="A542" t="s">
        <v>111</v>
      </c>
      <c r="B542" t="s">
        <v>154</v>
      </c>
      <c r="C542" t="s">
        <v>156</v>
      </c>
      <c r="D542" s="32">
        <v>606.05000000000007</v>
      </c>
      <c r="E542" s="32">
        <v>0</v>
      </c>
      <c r="F542" s="32">
        <v>0</v>
      </c>
      <c r="G542" s="32">
        <v>0</v>
      </c>
      <c r="H542" s="32">
        <v>475847</v>
      </c>
      <c r="I542" s="15" t="s">
        <v>191</v>
      </c>
    </row>
    <row r="543" spans="1:9" x14ac:dyDescent="0.2">
      <c r="A543" t="s">
        <v>172</v>
      </c>
      <c r="B543" t="s">
        <v>150</v>
      </c>
      <c r="C543" t="s">
        <v>156</v>
      </c>
      <c r="D543" s="32">
        <v>954.7499999999992</v>
      </c>
      <c r="E543" s="32">
        <v>0</v>
      </c>
      <c r="F543" s="32">
        <v>274577</v>
      </c>
      <c r="G543" s="32">
        <v>0</v>
      </c>
      <c r="H543" s="32">
        <v>514476</v>
      </c>
      <c r="I543" s="15" t="s">
        <v>191</v>
      </c>
    </row>
    <row r="544" spans="1:9" x14ac:dyDescent="0.2">
      <c r="A544" t="s">
        <v>28</v>
      </c>
      <c r="B544" t="s">
        <v>149</v>
      </c>
      <c r="C544" t="s">
        <v>156</v>
      </c>
      <c r="D544" s="32">
        <v>79.666666666666657</v>
      </c>
      <c r="E544" s="32">
        <v>0</v>
      </c>
      <c r="F544" s="32">
        <v>0</v>
      </c>
      <c r="G544" s="32">
        <v>0</v>
      </c>
      <c r="H544" s="32">
        <v>41517</v>
      </c>
      <c r="I544" s="15" t="s">
        <v>191</v>
      </c>
    </row>
    <row r="545" spans="1:9" x14ac:dyDescent="0.2">
      <c r="A545" t="s">
        <v>106</v>
      </c>
      <c r="B545" t="s">
        <v>153</v>
      </c>
      <c r="C545" t="s">
        <v>156</v>
      </c>
      <c r="D545" s="32">
        <v>360.45</v>
      </c>
      <c r="E545" s="32">
        <v>0</v>
      </c>
      <c r="F545" s="32">
        <v>11930</v>
      </c>
      <c r="G545" s="32">
        <v>0</v>
      </c>
      <c r="H545" s="32">
        <v>287028</v>
      </c>
      <c r="I545" s="15" t="s">
        <v>191</v>
      </c>
    </row>
    <row r="546" spans="1:9" x14ac:dyDescent="0.2">
      <c r="A546" t="s">
        <v>14</v>
      </c>
      <c r="B546" t="s">
        <v>150</v>
      </c>
      <c r="C546" t="s">
        <v>156</v>
      </c>
      <c r="D546" s="32">
        <v>372</v>
      </c>
      <c r="E546" s="32">
        <v>0</v>
      </c>
      <c r="F546" s="32">
        <v>0</v>
      </c>
      <c r="G546" s="32">
        <v>0</v>
      </c>
      <c r="H546" s="32">
        <v>289512</v>
      </c>
      <c r="I546" s="15" t="s">
        <v>191</v>
      </c>
    </row>
    <row r="547" spans="1:9" x14ac:dyDescent="0.2">
      <c r="A547" t="s">
        <v>13</v>
      </c>
      <c r="B547" t="s">
        <v>150</v>
      </c>
      <c r="C547" t="s">
        <v>156</v>
      </c>
      <c r="D547" s="32">
        <v>863.84999999999945</v>
      </c>
      <c r="E547" s="32">
        <v>0</v>
      </c>
      <c r="F547" s="32">
        <v>815720</v>
      </c>
      <c r="G547" s="32">
        <v>0</v>
      </c>
      <c r="H547" s="32">
        <v>629080</v>
      </c>
      <c r="I547" s="15" t="s">
        <v>191</v>
      </c>
    </row>
    <row r="548" spans="1:9" x14ac:dyDescent="0.2">
      <c r="A548" t="s">
        <v>60</v>
      </c>
      <c r="B548" t="s">
        <v>150</v>
      </c>
      <c r="C548" t="s">
        <v>156</v>
      </c>
      <c r="D548" s="32">
        <v>146.73333333333335</v>
      </c>
      <c r="E548" s="32">
        <v>0</v>
      </c>
      <c r="F548" s="32">
        <v>63778</v>
      </c>
      <c r="G548" s="32">
        <v>0</v>
      </c>
      <c r="H548" s="32">
        <v>69068</v>
      </c>
      <c r="I548" s="15" t="s">
        <v>191</v>
      </c>
    </row>
    <row r="549" spans="1:9" x14ac:dyDescent="0.2">
      <c r="A549" t="s">
        <v>64</v>
      </c>
      <c r="B549" t="s">
        <v>153</v>
      </c>
      <c r="C549" t="s">
        <v>156</v>
      </c>
      <c r="D549" s="32">
        <v>1302</v>
      </c>
      <c r="E549" s="32">
        <v>11355</v>
      </c>
      <c r="F549" s="32">
        <v>762932</v>
      </c>
      <c r="G549" s="32">
        <v>8035</v>
      </c>
      <c r="H549" s="32">
        <v>1125920</v>
      </c>
      <c r="I549" s="15" t="s">
        <v>191</v>
      </c>
    </row>
    <row r="550" spans="1:9" x14ac:dyDescent="0.2">
      <c r="A550" t="s">
        <v>3</v>
      </c>
      <c r="B550" t="s">
        <v>149</v>
      </c>
      <c r="C550" t="s">
        <v>156</v>
      </c>
      <c r="D550" s="32">
        <v>3151.2166666666694</v>
      </c>
      <c r="E550" s="32">
        <v>0</v>
      </c>
      <c r="F550" s="32">
        <v>1086582.0000000009</v>
      </c>
      <c r="G550" s="32">
        <v>0</v>
      </c>
      <c r="H550" s="32">
        <v>2298871</v>
      </c>
      <c r="I550" s="15" t="s">
        <v>191</v>
      </c>
    </row>
    <row r="551" spans="1:9" x14ac:dyDescent="0.2">
      <c r="A551" t="s">
        <v>58</v>
      </c>
      <c r="B551" t="s">
        <v>150</v>
      </c>
      <c r="C551" t="s">
        <v>156</v>
      </c>
      <c r="D551" s="32">
        <v>929.46666666666727</v>
      </c>
      <c r="E551" s="32">
        <v>0</v>
      </c>
      <c r="F551" s="32">
        <v>505296</v>
      </c>
      <c r="G551" s="32">
        <v>0</v>
      </c>
      <c r="H551" s="32">
        <v>663354</v>
      </c>
      <c r="I551" s="15" t="s">
        <v>191</v>
      </c>
    </row>
    <row r="552" spans="1:9" x14ac:dyDescent="0.2">
      <c r="A552" t="s">
        <v>35</v>
      </c>
      <c r="B552" t="s">
        <v>153</v>
      </c>
      <c r="C552" t="s">
        <v>156</v>
      </c>
      <c r="D552" s="32">
        <v>800</v>
      </c>
      <c r="E552" s="32">
        <v>31515</v>
      </c>
      <c r="F552" s="32">
        <v>401103</v>
      </c>
      <c r="G552" s="32">
        <v>0</v>
      </c>
      <c r="H552" s="32">
        <v>737600</v>
      </c>
      <c r="I552" s="15" t="s">
        <v>191</v>
      </c>
    </row>
    <row r="553" spans="1:9" x14ac:dyDescent="0.2">
      <c r="A553" t="s">
        <v>32</v>
      </c>
      <c r="B553" t="s">
        <v>152</v>
      </c>
      <c r="C553" t="s">
        <v>156</v>
      </c>
      <c r="D553" s="32">
        <v>124</v>
      </c>
      <c r="E553" s="32">
        <v>0</v>
      </c>
      <c r="F553" s="32">
        <v>101150</v>
      </c>
      <c r="G553" s="32">
        <v>0</v>
      </c>
      <c r="H553" s="32">
        <v>77810</v>
      </c>
      <c r="I553" s="15" t="s">
        <v>191</v>
      </c>
    </row>
    <row r="554" spans="1:9" x14ac:dyDescent="0.2">
      <c r="A554" t="s">
        <v>62</v>
      </c>
      <c r="B554" t="s">
        <v>152</v>
      </c>
      <c r="C554" t="s">
        <v>156</v>
      </c>
      <c r="D554" s="32">
        <v>663</v>
      </c>
      <c r="E554" s="32">
        <v>0</v>
      </c>
      <c r="F554" s="32">
        <v>47366</v>
      </c>
      <c r="G554" s="32">
        <v>94</v>
      </c>
      <c r="H554" s="32">
        <v>507702</v>
      </c>
      <c r="I554" s="15" t="s">
        <v>191</v>
      </c>
    </row>
    <row r="555" spans="1:9" x14ac:dyDescent="0.2">
      <c r="A555" t="s">
        <v>112</v>
      </c>
      <c r="B555" t="s">
        <v>152</v>
      </c>
      <c r="C555" t="s">
        <v>156</v>
      </c>
      <c r="D555" s="32">
        <v>186</v>
      </c>
      <c r="E555" s="32">
        <v>0</v>
      </c>
      <c r="F555" s="32">
        <v>132686</v>
      </c>
      <c r="G555" s="32">
        <v>0</v>
      </c>
      <c r="H555" s="32">
        <v>140864</v>
      </c>
      <c r="I555" s="15" t="s">
        <v>191</v>
      </c>
    </row>
    <row r="556" spans="1:9" x14ac:dyDescent="0.2">
      <c r="A556" t="s">
        <v>19</v>
      </c>
      <c r="B556" t="s">
        <v>152</v>
      </c>
      <c r="C556" t="s">
        <v>156</v>
      </c>
      <c r="D556" s="32">
        <v>836</v>
      </c>
      <c r="E556" s="32">
        <v>0</v>
      </c>
      <c r="F556" s="32">
        <v>434328</v>
      </c>
      <c r="G556" s="32">
        <v>109</v>
      </c>
      <c r="H556" s="32">
        <v>605132</v>
      </c>
      <c r="I556" s="15" t="s">
        <v>191</v>
      </c>
    </row>
    <row r="557" spans="1:9" x14ac:dyDescent="0.2">
      <c r="A557" t="s">
        <v>66</v>
      </c>
      <c r="B557" t="s">
        <v>153</v>
      </c>
      <c r="C557" t="s">
        <v>156</v>
      </c>
      <c r="D557" s="32">
        <v>1060</v>
      </c>
      <c r="E557" s="32">
        <v>15666</v>
      </c>
      <c r="F557" s="32">
        <v>672322</v>
      </c>
      <c r="G557" s="32">
        <v>0</v>
      </c>
      <c r="H557" s="32">
        <v>1026870</v>
      </c>
      <c r="I557" s="15" t="s">
        <v>191</v>
      </c>
    </row>
    <row r="558" spans="1:9" x14ac:dyDescent="0.2">
      <c r="A558" t="s">
        <v>99</v>
      </c>
      <c r="B558" t="s">
        <v>153</v>
      </c>
      <c r="C558" t="s">
        <v>156</v>
      </c>
      <c r="D558" s="32">
        <v>462.5</v>
      </c>
      <c r="E558" s="32">
        <v>0</v>
      </c>
      <c r="F558" s="32">
        <v>0</v>
      </c>
      <c r="G558" s="32">
        <v>0</v>
      </c>
      <c r="H558" s="32">
        <v>353905</v>
      </c>
      <c r="I558" s="15" t="s">
        <v>191</v>
      </c>
    </row>
    <row r="559" spans="1:9" x14ac:dyDescent="0.2">
      <c r="A559" t="s">
        <v>188</v>
      </c>
      <c r="B559" t="s">
        <v>153</v>
      </c>
      <c r="C559" t="s">
        <v>156</v>
      </c>
      <c r="D559" s="32">
        <v>56</v>
      </c>
      <c r="E559" s="32">
        <v>0</v>
      </c>
      <c r="F559" s="32">
        <v>0</v>
      </c>
      <c r="G559" s="32">
        <v>0</v>
      </c>
      <c r="H559" s="32">
        <v>33362</v>
      </c>
      <c r="I559" s="15" t="s">
        <v>191</v>
      </c>
    </row>
    <row r="560" spans="1:9" x14ac:dyDescent="0.2">
      <c r="A560" t="s">
        <v>29</v>
      </c>
      <c r="B560" t="s">
        <v>149</v>
      </c>
      <c r="C560" t="s">
        <v>156</v>
      </c>
      <c r="D560" s="32">
        <v>405.83333333333337</v>
      </c>
      <c r="E560" s="32">
        <v>0</v>
      </c>
      <c r="F560" s="32">
        <v>0</v>
      </c>
      <c r="G560" s="32">
        <v>0</v>
      </c>
      <c r="H560" s="32">
        <v>271001</v>
      </c>
      <c r="I560" s="15" t="s">
        <v>191</v>
      </c>
    </row>
    <row r="561" spans="1:9" x14ac:dyDescent="0.2">
      <c r="A561" t="s">
        <v>59</v>
      </c>
      <c r="B561" t="s">
        <v>150</v>
      </c>
      <c r="C561" t="s">
        <v>156</v>
      </c>
      <c r="D561" s="32">
        <v>1701.3333333333496</v>
      </c>
      <c r="E561" s="32">
        <v>12</v>
      </c>
      <c r="F561" s="32">
        <v>826007</v>
      </c>
      <c r="G561" s="32">
        <v>0</v>
      </c>
      <c r="H561" s="32">
        <v>922121</v>
      </c>
      <c r="I561" s="15" t="s">
        <v>191</v>
      </c>
    </row>
    <row r="562" spans="1:9" x14ac:dyDescent="0.2">
      <c r="A562" t="s">
        <v>38</v>
      </c>
      <c r="B562" t="s">
        <v>150</v>
      </c>
      <c r="C562" t="s">
        <v>156</v>
      </c>
      <c r="D562" s="32">
        <v>461.66666666666663</v>
      </c>
      <c r="E562" s="32">
        <v>0</v>
      </c>
      <c r="F562" s="32">
        <v>344540</v>
      </c>
      <c r="G562" s="32">
        <v>0</v>
      </c>
      <c r="H562" s="32">
        <v>301743</v>
      </c>
      <c r="I562" s="15" t="s">
        <v>191</v>
      </c>
    </row>
    <row r="563" spans="1:9" x14ac:dyDescent="0.2">
      <c r="A563" t="s">
        <v>48</v>
      </c>
      <c r="B563" t="s">
        <v>153</v>
      </c>
      <c r="C563" t="s">
        <v>156</v>
      </c>
      <c r="D563" s="32">
        <v>323.20000000000005</v>
      </c>
      <c r="E563" s="32">
        <v>0</v>
      </c>
      <c r="F563" s="32">
        <v>104240</v>
      </c>
      <c r="G563" s="32">
        <v>0</v>
      </c>
      <c r="H563" s="32">
        <v>250120</v>
      </c>
      <c r="I563" s="15" t="s">
        <v>191</v>
      </c>
    </row>
    <row r="564" spans="1:9" x14ac:dyDescent="0.2">
      <c r="A564" t="s">
        <v>26</v>
      </c>
      <c r="B564" t="s">
        <v>153</v>
      </c>
      <c r="C564" t="s">
        <v>156</v>
      </c>
      <c r="D564" s="32">
        <v>340.55</v>
      </c>
      <c r="E564" s="32">
        <v>0</v>
      </c>
      <c r="F564" s="32">
        <v>15080</v>
      </c>
      <c r="G564" s="32">
        <v>0</v>
      </c>
      <c r="H564" s="32">
        <v>271082</v>
      </c>
      <c r="I564" s="15" t="s">
        <v>191</v>
      </c>
    </row>
    <row r="565" spans="1:9" x14ac:dyDescent="0.2">
      <c r="A565" t="s">
        <v>110</v>
      </c>
      <c r="B565" t="s">
        <v>154</v>
      </c>
      <c r="C565" t="s">
        <v>156</v>
      </c>
      <c r="D565" s="32">
        <v>574.58333333333348</v>
      </c>
      <c r="E565" s="32">
        <v>0</v>
      </c>
      <c r="F565" s="32">
        <v>0</v>
      </c>
      <c r="G565" s="32">
        <v>0</v>
      </c>
      <c r="H565" s="32">
        <v>494760</v>
      </c>
      <c r="I565" s="15" t="s">
        <v>191</v>
      </c>
    </row>
    <row r="566" spans="1:9" x14ac:dyDescent="0.2">
      <c r="A566" t="s">
        <v>88</v>
      </c>
      <c r="B566" t="s">
        <v>150</v>
      </c>
      <c r="C566" t="s">
        <v>156</v>
      </c>
      <c r="D566" s="32">
        <v>2179.0833333333317</v>
      </c>
      <c r="E566" s="32">
        <v>0</v>
      </c>
      <c r="F566" s="32">
        <v>0</v>
      </c>
      <c r="G566" s="32">
        <v>0</v>
      </c>
      <c r="H566" s="32">
        <v>1539648</v>
      </c>
      <c r="I566" s="15" t="s">
        <v>191</v>
      </c>
    </row>
    <row r="567" spans="1:9" x14ac:dyDescent="0.2">
      <c r="A567" t="s">
        <v>109</v>
      </c>
      <c r="B567" t="s">
        <v>150</v>
      </c>
      <c r="C567" t="s">
        <v>156</v>
      </c>
      <c r="D567" s="32">
        <v>3005.3166666666611</v>
      </c>
      <c r="E567" s="32">
        <v>0</v>
      </c>
      <c r="F567" s="32">
        <v>2000730</v>
      </c>
      <c r="G567" s="32">
        <v>0</v>
      </c>
      <c r="H567" s="32">
        <v>1964576</v>
      </c>
      <c r="I567" s="15" t="s">
        <v>191</v>
      </c>
    </row>
    <row r="568" spans="1:9" x14ac:dyDescent="0.2">
      <c r="A568" t="s">
        <v>16</v>
      </c>
      <c r="B568" t="s">
        <v>150</v>
      </c>
      <c r="C568" t="s">
        <v>156</v>
      </c>
      <c r="D568" s="32">
        <v>886.63333333333333</v>
      </c>
      <c r="E568" s="32">
        <v>0</v>
      </c>
      <c r="F568" s="32">
        <v>635337.24256000004</v>
      </c>
      <c r="G568" s="32">
        <v>0</v>
      </c>
      <c r="H568" s="32">
        <v>521684</v>
      </c>
      <c r="I568" s="15" t="s">
        <v>191</v>
      </c>
    </row>
    <row r="569" spans="1:9" x14ac:dyDescent="0.2">
      <c r="A569" t="s">
        <v>69</v>
      </c>
      <c r="B569" t="s">
        <v>151</v>
      </c>
      <c r="C569" t="s">
        <v>156</v>
      </c>
      <c r="D569" s="32">
        <v>614.16666666666629</v>
      </c>
      <c r="E569" s="32">
        <v>0</v>
      </c>
      <c r="F569" s="32">
        <v>443325</v>
      </c>
      <c r="G569" s="32">
        <v>0</v>
      </c>
      <c r="H569" s="32">
        <v>530522</v>
      </c>
      <c r="I569" s="15" t="s">
        <v>191</v>
      </c>
    </row>
    <row r="570" spans="1:9" x14ac:dyDescent="0.2">
      <c r="A570" t="s">
        <v>36</v>
      </c>
      <c r="B570" t="s">
        <v>152</v>
      </c>
      <c r="C570" t="s">
        <v>156</v>
      </c>
      <c r="D570" s="32">
        <v>244</v>
      </c>
      <c r="E570" s="32">
        <v>6088</v>
      </c>
      <c r="F570" s="32">
        <v>169658</v>
      </c>
      <c r="G570" s="32">
        <v>0</v>
      </c>
      <c r="H570" s="32">
        <v>153476</v>
      </c>
      <c r="I570" s="15" t="s">
        <v>191</v>
      </c>
    </row>
    <row r="571" spans="1:9" x14ac:dyDescent="0.2">
      <c r="A571" t="s">
        <v>51</v>
      </c>
      <c r="B571" t="s">
        <v>152</v>
      </c>
      <c r="C571" t="s">
        <v>156</v>
      </c>
      <c r="D571" s="32">
        <v>334</v>
      </c>
      <c r="E571" s="32">
        <v>1550</v>
      </c>
      <c r="F571" s="32">
        <v>122983</v>
      </c>
      <c r="G571" s="32">
        <v>0</v>
      </c>
      <c r="H571" s="32">
        <v>285176</v>
      </c>
      <c r="I571" s="15" t="s">
        <v>191</v>
      </c>
    </row>
    <row r="572" spans="1:9" x14ac:dyDescent="0.2">
      <c r="A572" t="s">
        <v>79</v>
      </c>
      <c r="B572" t="s">
        <v>152</v>
      </c>
      <c r="C572" t="s">
        <v>156</v>
      </c>
      <c r="D572" s="32">
        <v>817</v>
      </c>
      <c r="E572" s="32">
        <v>0</v>
      </c>
      <c r="F572" s="32">
        <v>296921</v>
      </c>
      <c r="G572" s="32">
        <v>66</v>
      </c>
      <c r="H572" s="32">
        <v>618338</v>
      </c>
      <c r="I572" s="15" t="s">
        <v>191</v>
      </c>
    </row>
    <row r="573" spans="1:9" x14ac:dyDescent="0.2">
      <c r="A573" t="s">
        <v>40</v>
      </c>
      <c r="B573" t="s">
        <v>152</v>
      </c>
      <c r="C573" t="s">
        <v>156</v>
      </c>
      <c r="D573" s="32">
        <v>40</v>
      </c>
      <c r="E573" s="32">
        <v>0</v>
      </c>
      <c r="F573" s="32">
        <v>0</v>
      </c>
      <c r="G573" s="32">
        <v>0</v>
      </c>
      <c r="H573" s="32">
        <v>25264</v>
      </c>
      <c r="I573" s="15" t="s">
        <v>191</v>
      </c>
    </row>
    <row r="574" spans="1:9" x14ac:dyDescent="0.2">
      <c r="A574" t="s">
        <v>44</v>
      </c>
      <c r="B574" t="s">
        <v>153</v>
      </c>
      <c r="C574" t="s">
        <v>156</v>
      </c>
      <c r="D574" s="32">
        <v>546.75</v>
      </c>
      <c r="E574" s="32">
        <v>0</v>
      </c>
      <c r="F574" s="32">
        <v>195858</v>
      </c>
      <c r="G574" s="32">
        <v>0</v>
      </c>
      <c r="H574" s="32">
        <v>425896</v>
      </c>
      <c r="I574" s="15" t="s">
        <v>191</v>
      </c>
    </row>
    <row r="575" spans="1:9" x14ac:dyDescent="0.2">
      <c r="A575" t="s">
        <v>89</v>
      </c>
      <c r="B575" t="s">
        <v>152</v>
      </c>
      <c r="C575" t="s">
        <v>156</v>
      </c>
      <c r="D575" s="32">
        <v>86</v>
      </c>
      <c r="E575" s="32">
        <v>0</v>
      </c>
      <c r="F575" s="32">
        <v>7542</v>
      </c>
      <c r="G575" s="32">
        <v>0</v>
      </c>
      <c r="H575" s="32">
        <v>35690</v>
      </c>
      <c r="I575" s="15" t="s">
        <v>191</v>
      </c>
    </row>
    <row r="576" spans="1:9" x14ac:dyDescent="0.2">
      <c r="A576" t="s">
        <v>22</v>
      </c>
      <c r="B576" t="s">
        <v>153</v>
      </c>
      <c r="C576" t="s">
        <v>156</v>
      </c>
      <c r="D576" s="32">
        <v>193.64999999999998</v>
      </c>
      <c r="E576" s="32">
        <v>0</v>
      </c>
      <c r="F576" s="32">
        <v>68520</v>
      </c>
      <c r="G576" s="32">
        <v>0</v>
      </c>
      <c r="H576" s="32">
        <v>149652</v>
      </c>
      <c r="I576" s="15" t="s">
        <v>191</v>
      </c>
    </row>
    <row r="577" spans="1:9" x14ac:dyDescent="0.2">
      <c r="A577" t="s">
        <v>21</v>
      </c>
      <c r="B577" t="s">
        <v>153</v>
      </c>
      <c r="C577" t="s">
        <v>156</v>
      </c>
      <c r="D577" s="32">
        <v>279.28333333333336</v>
      </c>
      <c r="E577" s="32">
        <v>0</v>
      </c>
      <c r="F577" s="32">
        <v>85060</v>
      </c>
      <c r="G577" s="32">
        <v>0</v>
      </c>
      <c r="H577" s="32">
        <v>215618</v>
      </c>
      <c r="I577" s="15" t="s">
        <v>191</v>
      </c>
    </row>
    <row r="578" spans="1:9" x14ac:dyDescent="0.2">
      <c r="A578" t="s">
        <v>90</v>
      </c>
      <c r="B578" t="s">
        <v>150</v>
      </c>
      <c r="C578" t="s">
        <v>156</v>
      </c>
      <c r="D578" s="32">
        <v>7946.3000000000129</v>
      </c>
      <c r="E578" s="32">
        <v>1895</v>
      </c>
      <c r="F578" s="32">
        <v>4435745</v>
      </c>
      <c r="G578" s="32">
        <v>0</v>
      </c>
      <c r="H578" s="32">
        <v>5956940</v>
      </c>
      <c r="I578" s="15" t="s">
        <v>191</v>
      </c>
    </row>
    <row r="579" spans="1:9" x14ac:dyDescent="0.2">
      <c r="A579" t="s">
        <v>15</v>
      </c>
      <c r="B579" t="s">
        <v>150</v>
      </c>
      <c r="C579" t="s">
        <v>156</v>
      </c>
      <c r="D579" s="32">
        <v>307</v>
      </c>
      <c r="E579" s="32">
        <v>0</v>
      </c>
      <c r="F579" s="32">
        <v>0</v>
      </c>
      <c r="G579" s="32">
        <v>0</v>
      </c>
      <c r="H579" s="32">
        <v>227012</v>
      </c>
      <c r="I579" s="15" t="s">
        <v>191</v>
      </c>
    </row>
    <row r="580" spans="1:9" x14ac:dyDescent="0.2">
      <c r="A580" t="s">
        <v>30</v>
      </c>
      <c r="B580" t="s">
        <v>150</v>
      </c>
      <c r="C580" t="s">
        <v>156</v>
      </c>
      <c r="D580" s="32">
        <v>3958.8999999999992</v>
      </c>
      <c r="E580" s="32">
        <v>0</v>
      </c>
      <c r="F580" s="32">
        <v>1822185</v>
      </c>
      <c r="G580" s="32">
        <v>0</v>
      </c>
      <c r="H580" s="32">
        <v>2423397</v>
      </c>
      <c r="I580" s="15" t="s">
        <v>191</v>
      </c>
    </row>
    <row r="581" spans="1:9" x14ac:dyDescent="0.2">
      <c r="A581" t="s">
        <v>73</v>
      </c>
      <c r="B581" t="s">
        <v>150</v>
      </c>
      <c r="C581" t="s">
        <v>156</v>
      </c>
      <c r="D581" s="32">
        <v>574.73333333333323</v>
      </c>
      <c r="E581" s="32">
        <v>0</v>
      </c>
      <c r="F581" s="32">
        <v>374900</v>
      </c>
      <c r="G581" s="32">
        <v>0</v>
      </c>
      <c r="H581" s="32">
        <v>423142</v>
      </c>
      <c r="I581" s="15" t="s">
        <v>191</v>
      </c>
    </row>
    <row r="582" spans="1:9" x14ac:dyDescent="0.2">
      <c r="A582" t="s">
        <v>81</v>
      </c>
      <c r="B582" t="s">
        <v>153</v>
      </c>
      <c r="C582" t="s">
        <v>156</v>
      </c>
      <c r="D582" s="32">
        <v>247</v>
      </c>
      <c r="E582" s="32">
        <v>0</v>
      </c>
      <c r="F582" s="32">
        <v>306150</v>
      </c>
      <c r="G582" s="32">
        <v>0</v>
      </c>
      <c r="H582" s="32">
        <v>207688</v>
      </c>
      <c r="I582" s="15" t="s">
        <v>191</v>
      </c>
    </row>
    <row r="583" spans="1:9" x14ac:dyDescent="0.2">
      <c r="A583" t="s">
        <v>5</v>
      </c>
      <c r="B583" t="s">
        <v>149</v>
      </c>
      <c r="C583" t="s">
        <v>156</v>
      </c>
      <c r="D583" s="32">
        <v>201.9666666666667</v>
      </c>
      <c r="E583" s="32">
        <v>0</v>
      </c>
      <c r="F583" s="32">
        <v>286336</v>
      </c>
      <c r="G583" s="32">
        <v>0</v>
      </c>
      <c r="H583" s="32">
        <v>235682</v>
      </c>
      <c r="I583" s="15" t="s">
        <v>191</v>
      </c>
    </row>
    <row r="584" spans="1:9" x14ac:dyDescent="0.2">
      <c r="A584" t="s">
        <v>50</v>
      </c>
      <c r="B584" t="s">
        <v>149</v>
      </c>
      <c r="C584" t="s">
        <v>156</v>
      </c>
      <c r="D584" s="32">
        <v>5512.7000000000035</v>
      </c>
      <c r="E584" s="32">
        <v>0</v>
      </c>
      <c r="F584" s="32">
        <v>0</v>
      </c>
      <c r="G584" s="32">
        <v>0</v>
      </c>
      <c r="H584" s="32">
        <v>4164474</v>
      </c>
      <c r="I584" s="15" t="s">
        <v>191</v>
      </c>
    </row>
    <row r="585" spans="1:9" x14ac:dyDescent="0.2">
      <c r="A585" t="s">
        <v>37</v>
      </c>
      <c r="B585" t="s">
        <v>151</v>
      </c>
      <c r="C585" t="s">
        <v>156</v>
      </c>
      <c r="D585" s="32">
        <v>923.63333333333253</v>
      </c>
      <c r="E585" s="32">
        <v>0</v>
      </c>
      <c r="F585" s="32">
        <v>570948</v>
      </c>
      <c r="G585" s="32">
        <v>0</v>
      </c>
      <c r="H585" s="32">
        <v>804792</v>
      </c>
      <c r="I585" s="15" t="s">
        <v>191</v>
      </c>
    </row>
    <row r="586" spans="1:9" x14ac:dyDescent="0.2">
      <c r="A586" t="s">
        <v>41</v>
      </c>
      <c r="B586" t="s">
        <v>153</v>
      </c>
      <c r="C586" t="s">
        <v>156</v>
      </c>
      <c r="D586" s="32">
        <v>182.26666666666665</v>
      </c>
      <c r="E586" s="32">
        <v>0</v>
      </c>
      <c r="F586" s="32">
        <v>92280</v>
      </c>
      <c r="G586" s="32">
        <v>0</v>
      </c>
      <c r="H586" s="32">
        <v>148158</v>
      </c>
      <c r="I586" s="15" t="s">
        <v>191</v>
      </c>
    </row>
    <row r="587" spans="1:9" x14ac:dyDescent="0.2">
      <c r="A587" t="s">
        <v>108</v>
      </c>
      <c r="B587" t="s">
        <v>149</v>
      </c>
      <c r="C587" t="s">
        <v>155</v>
      </c>
      <c r="D587" s="32">
        <v>308.83333333333343</v>
      </c>
      <c r="E587" s="32">
        <v>427</v>
      </c>
      <c r="F587" s="32">
        <v>90616.200000000012</v>
      </c>
      <c r="G587" s="32">
        <v>959.8</v>
      </c>
      <c r="H587" s="32">
        <v>132695</v>
      </c>
      <c r="I587" t="s">
        <v>195</v>
      </c>
    </row>
    <row r="588" spans="1:9" x14ac:dyDescent="0.2">
      <c r="A588" t="s">
        <v>4</v>
      </c>
      <c r="B588" t="s">
        <v>149</v>
      </c>
      <c r="C588" t="s">
        <v>155</v>
      </c>
      <c r="D588" s="32">
        <v>2907.1666666666665</v>
      </c>
      <c r="E588" s="32">
        <v>0</v>
      </c>
      <c r="F588" s="32">
        <v>336920</v>
      </c>
      <c r="G588" s="32">
        <v>0</v>
      </c>
      <c r="H588" s="32">
        <v>1095021</v>
      </c>
      <c r="I588" t="s">
        <v>195</v>
      </c>
    </row>
    <row r="589" spans="1:9" x14ac:dyDescent="0.2">
      <c r="A589" t="s">
        <v>2</v>
      </c>
      <c r="B589" t="s">
        <v>149</v>
      </c>
      <c r="C589" t="s">
        <v>155</v>
      </c>
      <c r="D589" s="32">
        <v>9418.4500000000098</v>
      </c>
      <c r="E589" s="32">
        <v>3875</v>
      </c>
      <c r="F589" s="32">
        <v>4354060</v>
      </c>
      <c r="G589" s="32">
        <v>0</v>
      </c>
      <c r="H589" s="32">
        <v>4720785</v>
      </c>
      <c r="I589" t="s">
        <v>195</v>
      </c>
    </row>
    <row r="590" spans="1:9" x14ac:dyDescent="0.2">
      <c r="A590" t="s">
        <v>1</v>
      </c>
      <c r="B590" t="s">
        <v>149</v>
      </c>
      <c r="C590" t="s">
        <v>155</v>
      </c>
      <c r="D590" s="32">
        <v>15814.550000000012</v>
      </c>
      <c r="E590" s="32">
        <v>402</v>
      </c>
      <c r="F590" s="32">
        <v>6200742</v>
      </c>
      <c r="G590" s="32">
        <v>0</v>
      </c>
      <c r="H590" s="32">
        <v>6919137</v>
      </c>
      <c r="I590" t="s">
        <v>195</v>
      </c>
    </row>
    <row r="591" spans="1:9" x14ac:dyDescent="0.2">
      <c r="A591" t="s">
        <v>57</v>
      </c>
      <c r="B591" t="s">
        <v>149</v>
      </c>
      <c r="C591" t="s">
        <v>155</v>
      </c>
      <c r="D591" s="32">
        <v>91.916666666666671</v>
      </c>
      <c r="E591" s="32">
        <v>0</v>
      </c>
      <c r="F591" s="32">
        <v>0</v>
      </c>
      <c r="G591" s="32">
        <v>0</v>
      </c>
      <c r="H591" s="32">
        <v>32320</v>
      </c>
      <c r="I591" t="s">
        <v>195</v>
      </c>
    </row>
    <row r="592" spans="1:9" x14ac:dyDescent="0.2">
      <c r="A592" t="s">
        <v>28</v>
      </c>
      <c r="B592" t="s">
        <v>149</v>
      </c>
      <c r="C592" t="s">
        <v>155</v>
      </c>
      <c r="D592" s="32">
        <v>569.08333333333314</v>
      </c>
      <c r="E592" s="32">
        <v>0</v>
      </c>
      <c r="F592" s="32">
        <v>0</v>
      </c>
      <c r="G592" s="32">
        <v>0</v>
      </c>
      <c r="H592" s="32">
        <v>274402</v>
      </c>
      <c r="I592" t="s">
        <v>195</v>
      </c>
    </row>
    <row r="593" spans="1:9" x14ac:dyDescent="0.2">
      <c r="A593" t="s">
        <v>3</v>
      </c>
      <c r="B593" t="s">
        <v>149</v>
      </c>
      <c r="C593" t="s">
        <v>155</v>
      </c>
      <c r="D593" s="32">
        <v>9658.1166666666486</v>
      </c>
      <c r="E593" s="32">
        <v>0</v>
      </c>
      <c r="F593" s="32">
        <v>6722294.400000005</v>
      </c>
      <c r="G593" s="32">
        <v>0</v>
      </c>
      <c r="H593" s="32">
        <v>6360607</v>
      </c>
      <c r="I593" t="s">
        <v>195</v>
      </c>
    </row>
    <row r="594" spans="1:9" x14ac:dyDescent="0.2">
      <c r="A594" t="s">
        <v>6</v>
      </c>
      <c r="B594" t="s">
        <v>149</v>
      </c>
      <c r="C594" t="s">
        <v>155</v>
      </c>
      <c r="D594" s="32">
        <v>2184.5000000000005</v>
      </c>
      <c r="E594" s="32">
        <v>0</v>
      </c>
      <c r="F594" s="32">
        <v>0</v>
      </c>
      <c r="G594" s="32">
        <v>0</v>
      </c>
      <c r="H594" s="32">
        <v>1449507</v>
      </c>
      <c r="I594" t="s">
        <v>195</v>
      </c>
    </row>
    <row r="595" spans="1:9" x14ac:dyDescent="0.2">
      <c r="A595" t="s">
        <v>29</v>
      </c>
      <c r="B595" t="s">
        <v>149</v>
      </c>
      <c r="C595" t="s">
        <v>155</v>
      </c>
      <c r="D595" s="32">
        <v>38.483333333333334</v>
      </c>
      <c r="E595" s="32">
        <v>0</v>
      </c>
      <c r="F595" s="32">
        <v>0</v>
      </c>
      <c r="G595" s="32">
        <v>0</v>
      </c>
      <c r="H595" s="32">
        <v>13800</v>
      </c>
      <c r="I595" t="s">
        <v>195</v>
      </c>
    </row>
    <row r="596" spans="1:9" x14ac:dyDescent="0.2">
      <c r="A596" t="s">
        <v>170</v>
      </c>
      <c r="B596" t="s">
        <v>149</v>
      </c>
      <c r="C596" t="s">
        <v>155</v>
      </c>
      <c r="D596" s="32">
        <v>869.73333333333323</v>
      </c>
      <c r="E596" s="32">
        <v>0</v>
      </c>
      <c r="F596" s="32">
        <v>263841</v>
      </c>
      <c r="G596" s="32">
        <v>0</v>
      </c>
      <c r="H596" s="32">
        <v>362804</v>
      </c>
      <c r="I596" t="s">
        <v>195</v>
      </c>
    </row>
    <row r="597" spans="1:9" x14ac:dyDescent="0.2">
      <c r="A597" t="s">
        <v>5</v>
      </c>
      <c r="B597" t="s">
        <v>149</v>
      </c>
      <c r="C597" t="s">
        <v>155</v>
      </c>
      <c r="D597" s="32">
        <v>1272.4666666666624</v>
      </c>
      <c r="E597" s="32">
        <v>0</v>
      </c>
      <c r="F597" s="32">
        <v>3702966</v>
      </c>
      <c r="G597" s="32">
        <v>0</v>
      </c>
      <c r="H597" s="32">
        <v>3101878</v>
      </c>
      <c r="I597" t="s">
        <v>195</v>
      </c>
    </row>
    <row r="598" spans="1:9" x14ac:dyDescent="0.2">
      <c r="A598" t="s">
        <v>50</v>
      </c>
      <c r="B598" t="s">
        <v>149</v>
      </c>
      <c r="C598" t="s">
        <v>155</v>
      </c>
      <c r="D598" s="32">
        <v>12978.583333333321</v>
      </c>
      <c r="E598" s="32">
        <v>0</v>
      </c>
      <c r="F598" s="32">
        <v>0</v>
      </c>
      <c r="G598" s="32">
        <v>0</v>
      </c>
      <c r="H598" s="32">
        <v>9341661</v>
      </c>
      <c r="I598" t="s">
        <v>195</v>
      </c>
    </row>
    <row r="599" spans="1:9" x14ac:dyDescent="0.2">
      <c r="A599" t="s">
        <v>61</v>
      </c>
      <c r="B599" t="s">
        <v>150</v>
      </c>
      <c r="C599" t="s">
        <v>156</v>
      </c>
      <c r="D599" s="32">
        <v>142.46666666666664</v>
      </c>
      <c r="E599" s="32">
        <v>0</v>
      </c>
      <c r="F599" s="32">
        <v>0</v>
      </c>
      <c r="G599" s="32">
        <v>0</v>
      </c>
      <c r="H599" s="32">
        <v>212528</v>
      </c>
      <c r="I599" t="s">
        <v>195</v>
      </c>
    </row>
    <row r="600" spans="1:9" x14ac:dyDescent="0.2">
      <c r="A600" t="s">
        <v>147</v>
      </c>
      <c r="B600" t="s">
        <v>152</v>
      </c>
      <c r="C600" t="s">
        <v>156</v>
      </c>
      <c r="D600" s="32">
        <v>318</v>
      </c>
      <c r="E600" s="32">
        <v>0</v>
      </c>
      <c r="F600" s="32">
        <v>130425</v>
      </c>
      <c r="G600" s="32">
        <v>0</v>
      </c>
      <c r="H600" s="32">
        <v>261060</v>
      </c>
      <c r="I600" t="s">
        <v>195</v>
      </c>
    </row>
    <row r="601" spans="1:9" x14ac:dyDescent="0.2">
      <c r="A601" t="s">
        <v>4</v>
      </c>
      <c r="B601" t="s">
        <v>149</v>
      </c>
      <c r="C601" t="s">
        <v>156</v>
      </c>
      <c r="D601" s="32">
        <v>96.666666666666671</v>
      </c>
      <c r="E601" s="32">
        <v>0</v>
      </c>
      <c r="F601" s="32">
        <v>13230</v>
      </c>
      <c r="G601" s="32">
        <v>0</v>
      </c>
      <c r="H601" s="32">
        <v>43558</v>
      </c>
      <c r="I601" t="s">
        <v>195</v>
      </c>
    </row>
    <row r="602" spans="1:9" x14ac:dyDescent="0.2">
      <c r="A602" t="s">
        <v>2</v>
      </c>
      <c r="B602" t="s">
        <v>149</v>
      </c>
      <c r="C602" t="s">
        <v>156</v>
      </c>
      <c r="D602" s="32">
        <v>17226.483333333323</v>
      </c>
      <c r="E602" s="32">
        <v>27440</v>
      </c>
      <c r="F602" s="32">
        <v>7923924</v>
      </c>
      <c r="G602" s="32">
        <v>0</v>
      </c>
      <c r="H602" s="32">
        <v>11788266</v>
      </c>
      <c r="I602" t="s">
        <v>195</v>
      </c>
    </row>
    <row r="603" spans="1:9" x14ac:dyDescent="0.2">
      <c r="A603" t="s">
        <v>1</v>
      </c>
      <c r="B603" t="s">
        <v>149</v>
      </c>
      <c r="C603" t="s">
        <v>156</v>
      </c>
      <c r="D603" s="32">
        <v>3246.5666666666662</v>
      </c>
      <c r="E603" s="32">
        <v>0</v>
      </c>
      <c r="F603" s="32">
        <v>1333547</v>
      </c>
      <c r="G603" s="32">
        <v>0</v>
      </c>
      <c r="H603" s="32">
        <v>1705429</v>
      </c>
      <c r="I603" t="s">
        <v>195</v>
      </c>
    </row>
    <row r="604" spans="1:9" x14ac:dyDescent="0.2">
      <c r="A604" t="s">
        <v>76</v>
      </c>
      <c r="B604" t="s">
        <v>152</v>
      </c>
      <c r="C604" t="s">
        <v>156</v>
      </c>
      <c r="D604" s="32">
        <v>399.8333333333332</v>
      </c>
      <c r="E604" s="32">
        <v>0</v>
      </c>
      <c r="F604" s="32">
        <v>164859</v>
      </c>
      <c r="G604" s="32">
        <v>323</v>
      </c>
      <c r="H604" s="32">
        <v>291220</v>
      </c>
      <c r="I604" t="s">
        <v>195</v>
      </c>
    </row>
    <row r="605" spans="1:9" x14ac:dyDescent="0.2">
      <c r="A605" t="s">
        <v>57</v>
      </c>
      <c r="B605" t="s">
        <v>149</v>
      </c>
      <c r="C605" t="s">
        <v>156</v>
      </c>
      <c r="D605" s="32">
        <v>469.41666666666669</v>
      </c>
      <c r="E605" s="32">
        <v>0</v>
      </c>
      <c r="F605" s="32">
        <v>0</v>
      </c>
      <c r="G605" s="32">
        <v>0</v>
      </c>
      <c r="H605" s="32">
        <v>323432</v>
      </c>
      <c r="I605" t="s">
        <v>195</v>
      </c>
    </row>
    <row r="606" spans="1:9" x14ac:dyDescent="0.2">
      <c r="A606" t="s">
        <v>67</v>
      </c>
      <c r="B606" t="s">
        <v>153</v>
      </c>
      <c r="C606" t="s">
        <v>156</v>
      </c>
      <c r="D606" s="32">
        <v>195</v>
      </c>
      <c r="E606" s="32">
        <v>0</v>
      </c>
      <c r="F606" s="32">
        <v>103484</v>
      </c>
      <c r="G606" s="32">
        <v>0</v>
      </c>
      <c r="H606" s="32">
        <v>169140</v>
      </c>
      <c r="I606" t="s">
        <v>195</v>
      </c>
    </row>
    <row r="607" spans="1:9" x14ac:dyDescent="0.2">
      <c r="A607" t="s">
        <v>12</v>
      </c>
      <c r="B607" t="s">
        <v>151</v>
      </c>
      <c r="C607" t="s">
        <v>156</v>
      </c>
      <c r="D607" s="32">
        <v>1780.1666666666715</v>
      </c>
      <c r="E607" s="32">
        <v>25446</v>
      </c>
      <c r="F607" s="32">
        <v>1115725</v>
      </c>
      <c r="G607" s="32">
        <v>0</v>
      </c>
      <c r="H607" s="32">
        <v>1238678</v>
      </c>
      <c r="I607" t="s">
        <v>195</v>
      </c>
    </row>
    <row r="608" spans="1:9" x14ac:dyDescent="0.2">
      <c r="A608" t="s">
        <v>39</v>
      </c>
      <c r="B608" t="s">
        <v>153</v>
      </c>
      <c r="C608" t="s">
        <v>156</v>
      </c>
      <c r="D608" s="32">
        <v>541.2166666666667</v>
      </c>
      <c r="E608" s="32">
        <v>0</v>
      </c>
      <c r="F608" s="32">
        <v>19700</v>
      </c>
      <c r="G608" s="32">
        <v>0</v>
      </c>
      <c r="H608" s="32">
        <v>430542</v>
      </c>
      <c r="I608" t="s">
        <v>195</v>
      </c>
    </row>
    <row r="609" spans="1:9" x14ac:dyDescent="0.2">
      <c r="A609" t="s">
        <v>65</v>
      </c>
      <c r="B609" t="s">
        <v>153</v>
      </c>
      <c r="C609" t="s">
        <v>156</v>
      </c>
      <c r="D609" s="32">
        <v>875</v>
      </c>
      <c r="E609" s="32">
        <v>17151</v>
      </c>
      <c r="F609" s="32">
        <v>488910</v>
      </c>
      <c r="G609" s="32">
        <v>0</v>
      </c>
      <c r="H609" s="32">
        <v>798488</v>
      </c>
      <c r="I609" t="s">
        <v>195</v>
      </c>
    </row>
    <row r="610" spans="1:9" x14ac:dyDescent="0.2">
      <c r="A610" t="s">
        <v>68</v>
      </c>
      <c r="B610" t="s">
        <v>151</v>
      </c>
      <c r="C610" t="s">
        <v>156</v>
      </c>
      <c r="D610" s="32">
        <v>144.88333333333333</v>
      </c>
      <c r="E610" s="32">
        <v>0</v>
      </c>
      <c r="F610" s="32">
        <v>205038</v>
      </c>
      <c r="G610" s="32">
        <v>0</v>
      </c>
      <c r="H610" s="32">
        <v>124238</v>
      </c>
      <c r="I610" t="s">
        <v>195</v>
      </c>
    </row>
    <row r="611" spans="1:9" x14ac:dyDescent="0.2">
      <c r="A611" t="s">
        <v>10</v>
      </c>
      <c r="B611" t="s">
        <v>150</v>
      </c>
      <c r="C611" t="s">
        <v>156</v>
      </c>
      <c r="D611" s="32">
        <v>3210.6833333333302</v>
      </c>
      <c r="E611" s="32">
        <v>474</v>
      </c>
      <c r="F611" s="32">
        <v>17153994</v>
      </c>
      <c r="G611" s="32">
        <v>0</v>
      </c>
      <c r="H611" s="32">
        <v>1334005</v>
      </c>
      <c r="I611" t="s">
        <v>195</v>
      </c>
    </row>
    <row r="612" spans="1:9" x14ac:dyDescent="0.2">
      <c r="A612" t="s">
        <v>8</v>
      </c>
      <c r="B612" t="s">
        <v>150</v>
      </c>
      <c r="C612" t="s">
        <v>156</v>
      </c>
      <c r="D612" s="32">
        <v>6352.5333333332946</v>
      </c>
      <c r="E612" s="32">
        <v>114559</v>
      </c>
      <c r="F612" s="32">
        <v>3722075</v>
      </c>
      <c r="G612" s="32">
        <v>0</v>
      </c>
      <c r="H612" s="32">
        <v>3794944</v>
      </c>
      <c r="I612" t="s">
        <v>195</v>
      </c>
    </row>
    <row r="613" spans="1:9" x14ac:dyDescent="0.2">
      <c r="A613" t="s">
        <v>17</v>
      </c>
      <c r="B613" t="s">
        <v>150</v>
      </c>
      <c r="C613" t="s">
        <v>156</v>
      </c>
      <c r="D613" s="32">
        <v>123.33333333333334</v>
      </c>
      <c r="E613" s="32">
        <v>0</v>
      </c>
      <c r="F613" s="32">
        <v>0</v>
      </c>
      <c r="G613" s="32">
        <v>0</v>
      </c>
      <c r="H613" s="32">
        <v>86859</v>
      </c>
      <c r="I613" t="s">
        <v>195</v>
      </c>
    </row>
    <row r="614" spans="1:9" x14ac:dyDescent="0.2">
      <c r="A614" t="s">
        <v>52</v>
      </c>
      <c r="B614" t="s">
        <v>150</v>
      </c>
      <c r="C614" t="s">
        <v>156</v>
      </c>
      <c r="D614" s="32">
        <v>132</v>
      </c>
      <c r="E614" s="32">
        <v>0</v>
      </c>
      <c r="F614" s="32">
        <v>0</v>
      </c>
      <c r="G614" s="32">
        <v>0</v>
      </c>
      <c r="H614" s="32">
        <v>82110</v>
      </c>
      <c r="I614" t="s">
        <v>195</v>
      </c>
    </row>
    <row r="615" spans="1:9" x14ac:dyDescent="0.2">
      <c r="A615" t="s">
        <v>34</v>
      </c>
      <c r="B615" t="s">
        <v>152</v>
      </c>
      <c r="C615" t="s">
        <v>156</v>
      </c>
      <c r="D615" s="32">
        <v>1209.9999999999984</v>
      </c>
      <c r="E615" s="32">
        <v>2298</v>
      </c>
      <c r="F615" s="32">
        <v>678234</v>
      </c>
      <c r="G615" s="32">
        <v>0</v>
      </c>
      <c r="H615" s="32">
        <v>869116</v>
      </c>
      <c r="I615" t="s">
        <v>195</v>
      </c>
    </row>
    <row r="616" spans="1:9" x14ac:dyDescent="0.2">
      <c r="A616" t="s">
        <v>56</v>
      </c>
      <c r="B616" t="s">
        <v>153</v>
      </c>
      <c r="C616" t="s">
        <v>156</v>
      </c>
      <c r="D616" s="32">
        <v>253</v>
      </c>
      <c r="E616" s="32">
        <v>0</v>
      </c>
      <c r="F616" s="32">
        <v>81375</v>
      </c>
      <c r="G616" s="32">
        <v>0</v>
      </c>
      <c r="H616" s="32">
        <v>208578</v>
      </c>
      <c r="I616" t="s">
        <v>195</v>
      </c>
    </row>
    <row r="617" spans="1:9" x14ac:dyDescent="0.2">
      <c r="A617" t="s">
        <v>20</v>
      </c>
      <c r="B617" t="s">
        <v>153</v>
      </c>
      <c r="C617" t="s">
        <v>156</v>
      </c>
      <c r="D617" s="32">
        <v>900</v>
      </c>
      <c r="E617" s="32">
        <v>0</v>
      </c>
      <c r="F617" s="32">
        <v>413668</v>
      </c>
      <c r="G617" s="32">
        <v>0</v>
      </c>
      <c r="H617" s="32">
        <v>776518</v>
      </c>
      <c r="I617" t="s">
        <v>195</v>
      </c>
    </row>
    <row r="618" spans="1:9" x14ac:dyDescent="0.2">
      <c r="A618" t="s">
        <v>18</v>
      </c>
      <c r="B618" t="s">
        <v>153</v>
      </c>
      <c r="C618" t="s">
        <v>156</v>
      </c>
      <c r="D618" s="32">
        <v>723.33333333333292</v>
      </c>
      <c r="E618" s="32">
        <v>0</v>
      </c>
      <c r="F618" s="32">
        <v>0</v>
      </c>
      <c r="G618" s="32">
        <v>0</v>
      </c>
      <c r="H618" s="32">
        <v>586232</v>
      </c>
      <c r="I618" t="s">
        <v>195</v>
      </c>
    </row>
    <row r="619" spans="1:9" x14ac:dyDescent="0.2">
      <c r="A619" t="s">
        <v>148</v>
      </c>
      <c r="B619" t="s">
        <v>154</v>
      </c>
      <c r="C619" t="s">
        <v>156</v>
      </c>
      <c r="D619" s="32">
        <v>3776.3833333333355</v>
      </c>
      <c r="E619" s="32">
        <v>0</v>
      </c>
      <c r="F619" s="32">
        <v>0</v>
      </c>
      <c r="G619" s="32">
        <v>0</v>
      </c>
      <c r="H619" s="32">
        <v>1228464</v>
      </c>
      <c r="I619" t="s">
        <v>195</v>
      </c>
    </row>
    <row r="620" spans="1:9" x14ac:dyDescent="0.2">
      <c r="A620" t="s">
        <v>7</v>
      </c>
      <c r="B620" t="s">
        <v>150</v>
      </c>
      <c r="C620" t="s">
        <v>156</v>
      </c>
      <c r="D620" s="32">
        <v>2766.7500000000045</v>
      </c>
      <c r="E620" s="32">
        <v>0</v>
      </c>
      <c r="F620" s="32">
        <v>0</v>
      </c>
      <c r="G620" s="32">
        <v>0</v>
      </c>
      <c r="H620" s="32">
        <v>1813430</v>
      </c>
      <c r="I620" t="s">
        <v>195</v>
      </c>
    </row>
    <row r="621" spans="1:9" x14ac:dyDescent="0.2">
      <c r="A621" t="s">
        <v>31</v>
      </c>
      <c r="B621" t="s">
        <v>152</v>
      </c>
      <c r="C621" t="s">
        <v>156</v>
      </c>
      <c r="D621" s="32">
        <v>2599.7000000000075</v>
      </c>
      <c r="E621" s="32">
        <v>3764</v>
      </c>
      <c r="F621" s="32">
        <v>1658168</v>
      </c>
      <c r="G621" s="32">
        <v>5499</v>
      </c>
      <c r="H621" s="32">
        <v>1722880</v>
      </c>
      <c r="I621" t="s">
        <v>195</v>
      </c>
    </row>
    <row r="622" spans="1:9" x14ac:dyDescent="0.2">
      <c r="A622" t="s">
        <v>33</v>
      </c>
      <c r="B622" t="s">
        <v>152</v>
      </c>
      <c r="C622" t="s">
        <v>156</v>
      </c>
      <c r="D622" s="32">
        <v>206.66666666666669</v>
      </c>
      <c r="E622" s="32">
        <v>216</v>
      </c>
      <c r="F622" s="32">
        <v>285481</v>
      </c>
      <c r="G622" s="32">
        <v>80829</v>
      </c>
      <c r="H622" s="32">
        <v>134392</v>
      </c>
      <c r="I622" t="s">
        <v>195</v>
      </c>
    </row>
    <row r="623" spans="1:9" x14ac:dyDescent="0.2">
      <c r="A623" t="s">
        <v>9</v>
      </c>
      <c r="B623" t="s">
        <v>150</v>
      </c>
      <c r="C623" t="s">
        <v>156</v>
      </c>
      <c r="D623" s="32">
        <v>6192.4000000000033</v>
      </c>
      <c r="E623" s="32">
        <v>29812</v>
      </c>
      <c r="F623" s="32">
        <v>3809148</v>
      </c>
      <c r="G623" s="32">
        <v>0</v>
      </c>
      <c r="H623" s="32">
        <v>4030137</v>
      </c>
      <c r="I623" t="s">
        <v>195</v>
      </c>
    </row>
    <row r="624" spans="1:9" x14ac:dyDescent="0.2">
      <c r="A624" t="s">
        <v>63</v>
      </c>
      <c r="B624" t="s">
        <v>152</v>
      </c>
      <c r="C624" t="s">
        <v>156</v>
      </c>
      <c r="D624" s="32">
        <v>64.766666666666666</v>
      </c>
      <c r="E624" s="32">
        <v>0</v>
      </c>
      <c r="F624" s="32">
        <v>0</v>
      </c>
      <c r="G624" s="32">
        <v>0</v>
      </c>
      <c r="H624" s="32">
        <v>33792</v>
      </c>
      <c r="I624" t="s">
        <v>195</v>
      </c>
    </row>
    <row r="625" spans="1:9" x14ac:dyDescent="0.2">
      <c r="A625" t="s">
        <v>111</v>
      </c>
      <c r="B625" t="s">
        <v>154</v>
      </c>
      <c r="C625" t="s">
        <v>156</v>
      </c>
      <c r="D625" s="32">
        <v>502.49999999999994</v>
      </c>
      <c r="E625" s="32">
        <v>0</v>
      </c>
      <c r="F625" s="32">
        <v>0</v>
      </c>
      <c r="G625" s="32">
        <v>0</v>
      </c>
      <c r="H625" s="32">
        <v>394432</v>
      </c>
      <c r="I625" t="s">
        <v>195</v>
      </c>
    </row>
    <row r="626" spans="1:9" x14ac:dyDescent="0.2">
      <c r="A626" t="s">
        <v>172</v>
      </c>
      <c r="B626" t="s">
        <v>150</v>
      </c>
      <c r="C626" t="s">
        <v>156</v>
      </c>
      <c r="D626" s="32">
        <v>996.83333333333485</v>
      </c>
      <c r="E626" s="32">
        <v>4</v>
      </c>
      <c r="F626" s="32">
        <v>277767</v>
      </c>
      <c r="G626" s="32">
        <v>0</v>
      </c>
      <c r="H626" s="32">
        <v>540167</v>
      </c>
      <c r="I626" t="s">
        <v>195</v>
      </c>
    </row>
    <row r="627" spans="1:9" x14ac:dyDescent="0.2">
      <c r="A627" t="s">
        <v>28</v>
      </c>
      <c r="B627" t="s">
        <v>149</v>
      </c>
      <c r="C627" t="s">
        <v>156</v>
      </c>
      <c r="D627" s="32">
        <v>71.666666666666671</v>
      </c>
      <c r="E627" s="32">
        <v>0</v>
      </c>
      <c r="F627" s="32">
        <v>0</v>
      </c>
      <c r="G627" s="32">
        <v>0</v>
      </c>
      <c r="H627" s="32">
        <v>37512</v>
      </c>
      <c r="I627" t="s">
        <v>195</v>
      </c>
    </row>
    <row r="628" spans="1:9" x14ac:dyDescent="0.2">
      <c r="A628" t="s">
        <v>106</v>
      </c>
      <c r="B628" t="s">
        <v>153</v>
      </c>
      <c r="C628" t="s">
        <v>156</v>
      </c>
      <c r="D628" s="32">
        <v>360.45</v>
      </c>
      <c r="E628" s="32">
        <v>0</v>
      </c>
      <c r="F628" s="32">
        <v>13110</v>
      </c>
      <c r="G628" s="32">
        <v>0</v>
      </c>
      <c r="H628" s="32">
        <v>287028</v>
      </c>
      <c r="I628" t="s">
        <v>195</v>
      </c>
    </row>
    <row r="629" spans="1:9" x14ac:dyDescent="0.2">
      <c r="A629" t="s">
        <v>14</v>
      </c>
      <c r="B629" t="s">
        <v>150</v>
      </c>
      <c r="C629" t="s">
        <v>156</v>
      </c>
      <c r="D629" s="32">
        <v>361</v>
      </c>
      <c r="E629" s="32">
        <v>0</v>
      </c>
      <c r="F629" s="32">
        <v>0</v>
      </c>
      <c r="G629" s="32">
        <v>0</v>
      </c>
      <c r="H629" s="32">
        <v>280281</v>
      </c>
      <c r="I629" t="s">
        <v>195</v>
      </c>
    </row>
    <row r="630" spans="1:9" x14ac:dyDescent="0.2">
      <c r="A630" t="s">
        <v>13</v>
      </c>
      <c r="B630" t="s">
        <v>150</v>
      </c>
      <c r="C630" t="s">
        <v>156</v>
      </c>
      <c r="D630" s="32">
        <v>693.66666666666595</v>
      </c>
      <c r="E630" s="32">
        <v>0</v>
      </c>
      <c r="F630" s="32">
        <v>609640</v>
      </c>
      <c r="G630" s="32">
        <v>0</v>
      </c>
      <c r="H630" s="32">
        <v>505976</v>
      </c>
      <c r="I630" t="s">
        <v>195</v>
      </c>
    </row>
    <row r="631" spans="1:9" x14ac:dyDescent="0.2">
      <c r="A631" t="s">
        <v>60</v>
      </c>
      <c r="B631" t="s">
        <v>150</v>
      </c>
      <c r="C631" t="s">
        <v>156</v>
      </c>
      <c r="D631" s="32">
        <v>146.73333333333326</v>
      </c>
      <c r="E631" s="32">
        <v>0</v>
      </c>
      <c r="F631" s="32">
        <v>47381</v>
      </c>
      <c r="G631" s="32">
        <v>0</v>
      </c>
      <c r="H631" s="32">
        <v>69068</v>
      </c>
      <c r="I631" t="s">
        <v>195</v>
      </c>
    </row>
    <row r="632" spans="1:9" x14ac:dyDescent="0.2">
      <c r="A632" t="s">
        <v>64</v>
      </c>
      <c r="B632" t="s">
        <v>153</v>
      </c>
      <c r="C632" t="s">
        <v>156</v>
      </c>
      <c r="D632" s="32">
        <v>1302</v>
      </c>
      <c r="E632" s="32">
        <v>9183</v>
      </c>
      <c r="F632" s="32">
        <v>739334</v>
      </c>
      <c r="G632" s="32">
        <v>10662</v>
      </c>
      <c r="H632" s="32">
        <v>1125920</v>
      </c>
      <c r="I632" t="s">
        <v>195</v>
      </c>
    </row>
    <row r="633" spans="1:9" x14ac:dyDescent="0.2">
      <c r="A633" t="s">
        <v>3</v>
      </c>
      <c r="B633" t="s">
        <v>149</v>
      </c>
      <c r="C633" t="s">
        <v>156</v>
      </c>
      <c r="D633" s="32">
        <v>3064.7166666666653</v>
      </c>
      <c r="E633" s="32">
        <v>0</v>
      </c>
      <c r="F633" s="32">
        <v>1051617.2</v>
      </c>
      <c r="G633" s="32">
        <v>0</v>
      </c>
      <c r="H633" s="32">
        <v>2242770</v>
      </c>
      <c r="I633" t="s">
        <v>195</v>
      </c>
    </row>
    <row r="634" spans="1:9" x14ac:dyDescent="0.2">
      <c r="A634" t="s">
        <v>58</v>
      </c>
      <c r="B634" t="s">
        <v>150</v>
      </c>
      <c r="C634" t="s">
        <v>156</v>
      </c>
      <c r="D634" s="32">
        <v>931.8000000000003</v>
      </c>
      <c r="E634" s="32">
        <v>0</v>
      </c>
      <c r="F634" s="32">
        <v>483582</v>
      </c>
      <c r="G634" s="32">
        <v>0</v>
      </c>
      <c r="H634" s="32">
        <v>667380</v>
      </c>
      <c r="I634" t="s">
        <v>195</v>
      </c>
    </row>
    <row r="635" spans="1:9" x14ac:dyDescent="0.2">
      <c r="A635" t="s">
        <v>35</v>
      </c>
      <c r="B635" t="s">
        <v>153</v>
      </c>
      <c r="C635" t="s">
        <v>156</v>
      </c>
      <c r="D635" s="32">
        <v>800</v>
      </c>
      <c r="E635" s="32">
        <v>40455</v>
      </c>
      <c r="F635" s="32">
        <v>390046</v>
      </c>
      <c r="G635" s="32">
        <v>0</v>
      </c>
      <c r="H635" s="32">
        <v>737600</v>
      </c>
      <c r="I635" t="s">
        <v>195</v>
      </c>
    </row>
    <row r="636" spans="1:9" x14ac:dyDescent="0.2">
      <c r="A636" t="s">
        <v>32</v>
      </c>
      <c r="B636" t="s">
        <v>152</v>
      </c>
      <c r="C636" t="s">
        <v>156</v>
      </c>
      <c r="D636" s="32">
        <v>124</v>
      </c>
      <c r="E636" s="32">
        <v>0</v>
      </c>
      <c r="F636" s="32">
        <v>95943</v>
      </c>
      <c r="G636" s="32">
        <v>0</v>
      </c>
      <c r="H636" s="32">
        <v>77810</v>
      </c>
      <c r="I636" t="s">
        <v>195</v>
      </c>
    </row>
    <row r="637" spans="1:9" x14ac:dyDescent="0.2">
      <c r="A637" t="s">
        <v>62</v>
      </c>
      <c r="B637" t="s">
        <v>152</v>
      </c>
      <c r="C637" t="s">
        <v>156</v>
      </c>
      <c r="D637" s="32">
        <v>603.5</v>
      </c>
      <c r="E637" s="32">
        <v>0</v>
      </c>
      <c r="F637" s="32">
        <v>271673</v>
      </c>
      <c r="G637" s="32">
        <v>118</v>
      </c>
      <c r="H637" s="32">
        <v>463563</v>
      </c>
      <c r="I637" t="s">
        <v>195</v>
      </c>
    </row>
    <row r="638" spans="1:9" x14ac:dyDescent="0.2">
      <c r="A638" t="s">
        <v>112</v>
      </c>
      <c r="B638" t="s">
        <v>152</v>
      </c>
      <c r="C638" t="s">
        <v>156</v>
      </c>
      <c r="D638" s="32">
        <v>186</v>
      </c>
      <c r="E638" s="32">
        <v>0</v>
      </c>
      <c r="F638" s="32">
        <v>130894</v>
      </c>
      <c r="G638" s="32">
        <v>0</v>
      </c>
      <c r="H638" s="32">
        <v>140864</v>
      </c>
      <c r="I638" t="s">
        <v>195</v>
      </c>
    </row>
    <row r="639" spans="1:9" x14ac:dyDescent="0.2">
      <c r="A639" t="s">
        <v>19</v>
      </c>
      <c r="B639" t="s">
        <v>152</v>
      </c>
      <c r="C639" t="s">
        <v>156</v>
      </c>
      <c r="D639" s="32">
        <v>858</v>
      </c>
      <c r="E639" s="32">
        <v>0</v>
      </c>
      <c r="F639" s="32">
        <v>477650</v>
      </c>
      <c r="G639" s="32">
        <v>57</v>
      </c>
      <c r="H639" s="32">
        <v>620368</v>
      </c>
      <c r="I639" t="s">
        <v>195</v>
      </c>
    </row>
    <row r="640" spans="1:9" x14ac:dyDescent="0.2">
      <c r="A640" t="s">
        <v>66</v>
      </c>
      <c r="B640" t="s">
        <v>153</v>
      </c>
      <c r="C640" t="s">
        <v>156</v>
      </c>
      <c r="D640" s="32">
        <v>1080</v>
      </c>
      <c r="E640" s="32">
        <v>12971</v>
      </c>
      <c r="F640" s="32">
        <v>626882</v>
      </c>
      <c r="G640" s="32">
        <v>0</v>
      </c>
      <c r="H640" s="32">
        <v>1046590</v>
      </c>
      <c r="I640" t="s">
        <v>195</v>
      </c>
    </row>
    <row r="641" spans="1:9" x14ac:dyDescent="0.2">
      <c r="A641" t="s">
        <v>99</v>
      </c>
      <c r="B641" t="s">
        <v>153</v>
      </c>
      <c r="C641" t="s">
        <v>156</v>
      </c>
      <c r="D641" s="32">
        <v>475</v>
      </c>
      <c r="E641" s="32">
        <v>0</v>
      </c>
      <c r="F641" s="32">
        <v>0</v>
      </c>
      <c r="G641" s="32">
        <v>0</v>
      </c>
      <c r="H641" s="32">
        <v>363470</v>
      </c>
      <c r="I641" t="s">
        <v>195</v>
      </c>
    </row>
    <row r="642" spans="1:9" x14ac:dyDescent="0.2">
      <c r="A642" t="s">
        <v>188</v>
      </c>
      <c r="B642" t="s">
        <v>153</v>
      </c>
      <c r="C642" t="s">
        <v>156</v>
      </c>
      <c r="D642" s="32">
        <v>52</v>
      </c>
      <c r="E642" s="32">
        <v>0</v>
      </c>
      <c r="F642" s="32">
        <v>0</v>
      </c>
      <c r="G642" s="32">
        <v>0</v>
      </c>
      <c r="H642" s="32">
        <v>30649</v>
      </c>
      <c r="I642" t="s">
        <v>195</v>
      </c>
    </row>
    <row r="643" spans="1:9" x14ac:dyDescent="0.2">
      <c r="A643" t="s">
        <v>29</v>
      </c>
      <c r="B643" t="s">
        <v>149</v>
      </c>
      <c r="C643" t="s">
        <v>156</v>
      </c>
      <c r="D643" s="32">
        <v>362.81666666666666</v>
      </c>
      <c r="E643" s="32">
        <v>0</v>
      </c>
      <c r="F643" s="32">
        <v>0</v>
      </c>
      <c r="G643" s="32">
        <v>0</v>
      </c>
      <c r="H643" s="32">
        <v>244379</v>
      </c>
      <c r="I643" t="s">
        <v>195</v>
      </c>
    </row>
    <row r="644" spans="1:9" x14ac:dyDescent="0.2">
      <c r="A644" t="s">
        <v>59</v>
      </c>
      <c r="B644" t="s">
        <v>150</v>
      </c>
      <c r="C644" t="s">
        <v>156</v>
      </c>
      <c r="D644" s="32">
        <v>1617.5000000000177</v>
      </c>
      <c r="E644" s="32">
        <v>1</v>
      </c>
      <c r="F644" s="32">
        <v>692239</v>
      </c>
      <c r="G644" s="32">
        <v>0</v>
      </c>
      <c r="H644" s="32">
        <v>873931</v>
      </c>
      <c r="I644" t="s">
        <v>195</v>
      </c>
    </row>
    <row r="645" spans="1:9" x14ac:dyDescent="0.2">
      <c r="A645" t="s">
        <v>38</v>
      </c>
      <c r="B645" t="s">
        <v>150</v>
      </c>
      <c r="C645" t="s">
        <v>156</v>
      </c>
      <c r="D645" s="32">
        <v>305.66666666666669</v>
      </c>
      <c r="E645" s="32">
        <v>0</v>
      </c>
      <c r="F645" s="32">
        <v>206522</v>
      </c>
      <c r="G645" s="32">
        <v>0</v>
      </c>
      <c r="H645" s="32">
        <v>200941</v>
      </c>
      <c r="I645" t="s">
        <v>195</v>
      </c>
    </row>
    <row r="646" spans="1:9" x14ac:dyDescent="0.2">
      <c r="A646" t="s">
        <v>48</v>
      </c>
      <c r="B646" t="s">
        <v>153</v>
      </c>
      <c r="C646" t="s">
        <v>156</v>
      </c>
      <c r="D646" s="32">
        <v>276.73333333333335</v>
      </c>
      <c r="E646" s="32">
        <v>0</v>
      </c>
      <c r="F646" s="32">
        <v>88740</v>
      </c>
      <c r="G646" s="32">
        <v>0</v>
      </c>
      <c r="H646" s="32">
        <v>222937</v>
      </c>
      <c r="I646" t="s">
        <v>195</v>
      </c>
    </row>
    <row r="647" spans="1:9" x14ac:dyDescent="0.2">
      <c r="A647" t="s">
        <v>26</v>
      </c>
      <c r="B647" t="s">
        <v>153</v>
      </c>
      <c r="C647" t="s">
        <v>156</v>
      </c>
      <c r="D647" s="32">
        <v>380.63333333333333</v>
      </c>
      <c r="E647" s="32">
        <v>0</v>
      </c>
      <c r="F647" s="32">
        <v>15080</v>
      </c>
      <c r="G647" s="32">
        <v>0</v>
      </c>
      <c r="H647" s="32">
        <v>302974</v>
      </c>
      <c r="I647" t="s">
        <v>195</v>
      </c>
    </row>
    <row r="648" spans="1:9" x14ac:dyDescent="0.2">
      <c r="A648" t="s">
        <v>110</v>
      </c>
      <c r="B648" t="s">
        <v>154</v>
      </c>
      <c r="C648" t="s">
        <v>156</v>
      </c>
      <c r="D648" s="32">
        <v>591.00000000000011</v>
      </c>
      <c r="E648" s="32">
        <v>0</v>
      </c>
      <c r="F648" s="32">
        <v>0</v>
      </c>
      <c r="G648" s="32">
        <v>0</v>
      </c>
      <c r="H648" s="32">
        <v>508896</v>
      </c>
      <c r="I648" t="s">
        <v>195</v>
      </c>
    </row>
    <row r="649" spans="1:9" x14ac:dyDescent="0.2">
      <c r="A649" t="s">
        <v>88</v>
      </c>
      <c r="B649" t="s">
        <v>150</v>
      </c>
      <c r="C649" t="s">
        <v>156</v>
      </c>
      <c r="D649" s="32">
        <v>2103.7000000000012</v>
      </c>
      <c r="E649" s="32">
        <v>0</v>
      </c>
      <c r="F649" s="32">
        <v>0</v>
      </c>
      <c r="G649" s="32">
        <v>0</v>
      </c>
      <c r="H649" s="32">
        <v>1487637</v>
      </c>
      <c r="I649" t="s">
        <v>195</v>
      </c>
    </row>
    <row r="650" spans="1:9" x14ac:dyDescent="0.2">
      <c r="A650" t="s">
        <v>109</v>
      </c>
      <c r="B650" t="s">
        <v>150</v>
      </c>
      <c r="C650" t="s">
        <v>156</v>
      </c>
      <c r="D650" s="32">
        <v>1944.3333333333333</v>
      </c>
      <c r="E650" s="32">
        <v>0</v>
      </c>
      <c r="F650" s="32">
        <v>1251900</v>
      </c>
      <c r="G650" s="32">
        <v>0</v>
      </c>
      <c r="H650" s="32">
        <v>1295541</v>
      </c>
      <c r="I650" t="s">
        <v>195</v>
      </c>
    </row>
    <row r="651" spans="1:9" x14ac:dyDescent="0.2">
      <c r="A651" t="s">
        <v>16</v>
      </c>
      <c r="B651" t="s">
        <v>150</v>
      </c>
      <c r="C651" t="s">
        <v>156</v>
      </c>
      <c r="D651" s="32">
        <v>883.81666666666683</v>
      </c>
      <c r="E651" s="32">
        <v>0</v>
      </c>
      <c r="F651" s="32">
        <v>553872.11935999978</v>
      </c>
      <c r="G651" s="32">
        <v>0</v>
      </c>
      <c r="H651" s="32">
        <v>525432</v>
      </c>
      <c r="I651" t="s">
        <v>195</v>
      </c>
    </row>
    <row r="652" spans="1:9" x14ac:dyDescent="0.2">
      <c r="A652" t="s">
        <v>69</v>
      </c>
      <c r="B652" t="s">
        <v>151</v>
      </c>
      <c r="C652" t="s">
        <v>156</v>
      </c>
      <c r="D652" s="32">
        <v>673.51666666666677</v>
      </c>
      <c r="E652" s="32">
        <v>0</v>
      </c>
      <c r="F652" s="32">
        <v>536144</v>
      </c>
      <c r="G652" s="32">
        <v>0</v>
      </c>
      <c r="H652" s="32">
        <v>579193</v>
      </c>
      <c r="I652" t="s">
        <v>195</v>
      </c>
    </row>
    <row r="653" spans="1:9" x14ac:dyDescent="0.2">
      <c r="A653" t="s">
        <v>36</v>
      </c>
      <c r="B653" t="s">
        <v>152</v>
      </c>
      <c r="C653" t="s">
        <v>156</v>
      </c>
      <c r="D653" s="32">
        <v>240</v>
      </c>
      <c r="E653" s="32">
        <v>7346</v>
      </c>
      <c r="F653" s="32">
        <v>159179</v>
      </c>
      <c r="G653" s="32">
        <v>0</v>
      </c>
      <c r="H653" s="32">
        <v>150960</v>
      </c>
      <c r="I653" t="s">
        <v>195</v>
      </c>
    </row>
    <row r="654" spans="1:9" x14ac:dyDescent="0.2">
      <c r="A654" t="s">
        <v>51</v>
      </c>
      <c r="B654" t="s">
        <v>152</v>
      </c>
      <c r="C654" t="s">
        <v>156</v>
      </c>
      <c r="D654" s="32">
        <v>406</v>
      </c>
      <c r="E654" s="32">
        <v>3247</v>
      </c>
      <c r="F654" s="32">
        <v>156979</v>
      </c>
      <c r="G654" s="32">
        <v>0</v>
      </c>
      <c r="H654" s="32">
        <v>361356</v>
      </c>
      <c r="I654" t="s">
        <v>195</v>
      </c>
    </row>
    <row r="655" spans="1:9" x14ac:dyDescent="0.2">
      <c r="A655" t="s">
        <v>79</v>
      </c>
      <c r="B655" t="s">
        <v>152</v>
      </c>
      <c r="C655" t="s">
        <v>156</v>
      </c>
      <c r="D655" s="32">
        <v>646</v>
      </c>
      <c r="E655" s="32">
        <v>0</v>
      </c>
      <c r="F655" s="32">
        <v>239902</v>
      </c>
      <c r="G655" s="32">
        <v>37</v>
      </c>
      <c r="H655" s="32">
        <v>498084</v>
      </c>
      <c r="I655" t="s">
        <v>195</v>
      </c>
    </row>
    <row r="656" spans="1:9" x14ac:dyDescent="0.2">
      <c r="A656" t="s">
        <v>40</v>
      </c>
      <c r="B656" t="s">
        <v>152</v>
      </c>
      <c r="C656" t="s">
        <v>156</v>
      </c>
      <c r="D656" s="32">
        <v>50</v>
      </c>
      <c r="E656" s="32">
        <v>0</v>
      </c>
      <c r="F656" s="32">
        <v>0</v>
      </c>
      <c r="G656" s="32">
        <v>0</v>
      </c>
      <c r="H656" s="32">
        <v>31580</v>
      </c>
      <c r="I656" t="s">
        <v>195</v>
      </c>
    </row>
    <row r="657" spans="1:9" x14ac:dyDescent="0.2">
      <c r="A657" t="s">
        <v>44</v>
      </c>
      <c r="B657" t="s">
        <v>153</v>
      </c>
      <c r="C657" t="s">
        <v>156</v>
      </c>
      <c r="D657" s="32">
        <v>546.75</v>
      </c>
      <c r="E657" s="32">
        <v>0</v>
      </c>
      <c r="F657" s="32">
        <v>239406</v>
      </c>
      <c r="G657" s="32">
        <v>0</v>
      </c>
      <c r="H657" s="32">
        <v>426724</v>
      </c>
      <c r="I657" t="s">
        <v>195</v>
      </c>
    </row>
    <row r="658" spans="1:9" x14ac:dyDescent="0.2">
      <c r="A658" t="s">
        <v>89</v>
      </c>
      <c r="B658" t="s">
        <v>152</v>
      </c>
      <c r="C658" t="s">
        <v>156</v>
      </c>
      <c r="D658" s="32">
        <v>89</v>
      </c>
      <c r="E658" s="32">
        <v>0</v>
      </c>
      <c r="F658" s="32">
        <v>7748</v>
      </c>
      <c r="G658" s="32">
        <v>0</v>
      </c>
      <c r="H658" s="32">
        <v>36649</v>
      </c>
      <c r="I658" t="s">
        <v>195</v>
      </c>
    </row>
    <row r="659" spans="1:9" x14ac:dyDescent="0.2">
      <c r="A659" t="s">
        <v>22</v>
      </c>
      <c r="B659" t="s">
        <v>153</v>
      </c>
      <c r="C659" t="s">
        <v>156</v>
      </c>
      <c r="D659" s="32">
        <v>193.85</v>
      </c>
      <c r="E659" s="32">
        <v>0</v>
      </c>
      <c r="F659" s="32">
        <v>68140</v>
      </c>
      <c r="G659" s="32">
        <v>0</v>
      </c>
      <c r="H659" s="32">
        <v>149798</v>
      </c>
      <c r="I659" t="s">
        <v>195</v>
      </c>
    </row>
    <row r="660" spans="1:9" x14ac:dyDescent="0.2">
      <c r="A660" t="s">
        <v>21</v>
      </c>
      <c r="B660" t="s">
        <v>153</v>
      </c>
      <c r="C660" t="s">
        <v>156</v>
      </c>
      <c r="D660" s="32">
        <v>279.2833333333333</v>
      </c>
      <c r="E660" s="32">
        <v>0</v>
      </c>
      <c r="F660" s="32">
        <v>84880</v>
      </c>
      <c r="G660" s="32">
        <v>0</v>
      </c>
      <c r="H660" s="32">
        <v>215618</v>
      </c>
      <c r="I660" t="s">
        <v>195</v>
      </c>
    </row>
    <row r="661" spans="1:9" x14ac:dyDescent="0.2">
      <c r="A661" t="s">
        <v>90</v>
      </c>
      <c r="B661" t="s">
        <v>150</v>
      </c>
      <c r="C661" t="s">
        <v>156</v>
      </c>
      <c r="D661" s="32">
        <v>7201.8999999999796</v>
      </c>
      <c r="E661" s="32">
        <v>6497</v>
      </c>
      <c r="F661" s="32">
        <v>3971047</v>
      </c>
      <c r="G661" s="32">
        <v>0</v>
      </c>
      <c r="H661" s="32">
        <v>5394527</v>
      </c>
      <c r="I661" t="s">
        <v>195</v>
      </c>
    </row>
    <row r="662" spans="1:9" x14ac:dyDescent="0.2">
      <c r="A662" t="s">
        <v>15</v>
      </c>
      <c r="B662" t="s">
        <v>150</v>
      </c>
      <c r="C662" t="s">
        <v>156</v>
      </c>
      <c r="D662" s="32">
        <v>307</v>
      </c>
      <c r="E662" s="32">
        <v>0</v>
      </c>
      <c r="F662" s="32">
        <v>0</v>
      </c>
      <c r="G662" s="32">
        <v>0</v>
      </c>
      <c r="H662" s="32">
        <v>210123</v>
      </c>
      <c r="I662" t="s">
        <v>195</v>
      </c>
    </row>
    <row r="663" spans="1:9" x14ac:dyDescent="0.2">
      <c r="A663" t="s">
        <v>30</v>
      </c>
      <c r="B663" t="s">
        <v>150</v>
      </c>
      <c r="C663" t="s">
        <v>156</v>
      </c>
      <c r="D663" s="32">
        <v>3354.7999999999997</v>
      </c>
      <c r="E663" s="32">
        <v>0</v>
      </c>
      <c r="F663" s="32">
        <v>1567792</v>
      </c>
      <c r="G663" s="32">
        <v>0</v>
      </c>
      <c r="H663" s="32">
        <v>2051634</v>
      </c>
      <c r="I663" t="s">
        <v>195</v>
      </c>
    </row>
    <row r="664" spans="1:9" x14ac:dyDescent="0.2">
      <c r="A664" t="s">
        <v>73</v>
      </c>
      <c r="B664" t="s">
        <v>150</v>
      </c>
      <c r="C664" t="s">
        <v>156</v>
      </c>
      <c r="D664" s="32">
        <v>475.73333333333284</v>
      </c>
      <c r="E664" s="32">
        <v>0</v>
      </c>
      <c r="F664" s="32">
        <v>311220</v>
      </c>
      <c r="G664" s="32">
        <v>0</v>
      </c>
      <c r="H664" s="32">
        <v>350262</v>
      </c>
      <c r="I664" t="s">
        <v>195</v>
      </c>
    </row>
    <row r="665" spans="1:9" x14ac:dyDescent="0.2">
      <c r="A665" t="s">
        <v>81</v>
      </c>
      <c r="B665" t="s">
        <v>153</v>
      </c>
      <c r="C665" t="s">
        <v>156</v>
      </c>
      <c r="D665" s="32">
        <v>245</v>
      </c>
      <c r="E665" s="32">
        <v>0</v>
      </c>
      <c r="F665" s="32">
        <v>219882</v>
      </c>
      <c r="G665" s="32">
        <v>0</v>
      </c>
      <c r="H665" s="32">
        <v>207688</v>
      </c>
      <c r="I665" t="s">
        <v>195</v>
      </c>
    </row>
    <row r="666" spans="1:9" x14ac:dyDescent="0.2">
      <c r="A666" t="s">
        <v>5</v>
      </c>
      <c r="B666" t="s">
        <v>149</v>
      </c>
      <c r="C666" t="s">
        <v>156</v>
      </c>
      <c r="D666" s="32">
        <v>146.2000000000001</v>
      </c>
      <c r="E666" s="32">
        <v>0</v>
      </c>
      <c r="F666" s="32">
        <v>202550</v>
      </c>
      <c r="G666" s="32">
        <v>0</v>
      </c>
      <c r="H666" s="32">
        <v>174900</v>
      </c>
      <c r="I666" t="s">
        <v>195</v>
      </c>
    </row>
    <row r="667" spans="1:9" x14ac:dyDescent="0.2">
      <c r="A667" t="s">
        <v>50</v>
      </c>
      <c r="B667" t="s">
        <v>149</v>
      </c>
      <c r="C667" t="s">
        <v>156</v>
      </c>
      <c r="D667" s="32">
        <v>5241.4833333333381</v>
      </c>
      <c r="E667" s="32">
        <v>0</v>
      </c>
      <c r="F667" s="32">
        <v>0</v>
      </c>
      <c r="G667" s="32">
        <v>0</v>
      </c>
      <c r="H667" s="32">
        <v>3958934</v>
      </c>
      <c r="I667" t="s">
        <v>195</v>
      </c>
    </row>
    <row r="668" spans="1:9" x14ac:dyDescent="0.2">
      <c r="A668" t="s">
        <v>37</v>
      </c>
      <c r="B668" t="s">
        <v>151</v>
      </c>
      <c r="C668" t="s">
        <v>156</v>
      </c>
      <c r="D668" s="32">
        <v>985.18333333333237</v>
      </c>
      <c r="E668" s="32">
        <v>0</v>
      </c>
      <c r="F668" s="32">
        <v>644910</v>
      </c>
      <c r="G668" s="32">
        <v>0</v>
      </c>
      <c r="H668" s="32">
        <v>859984</v>
      </c>
      <c r="I668" t="s">
        <v>195</v>
      </c>
    </row>
    <row r="669" spans="1:9" x14ac:dyDescent="0.2">
      <c r="A669" t="s">
        <v>41</v>
      </c>
      <c r="B669" t="s">
        <v>153</v>
      </c>
      <c r="C669" t="s">
        <v>156</v>
      </c>
      <c r="D669" s="32">
        <v>182.26666666666665</v>
      </c>
      <c r="E669" s="32">
        <v>0</v>
      </c>
      <c r="F669" s="32">
        <v>97835</v>
      </c>
      <c r="G669" s="32">
        <v>0</v>
      </c>
      <c r="H669" s="32">
        <v>148158</v>
      </c>
      <c r="I669" t="s">
        <v>195</v>
      </c>
    </row>
    <row r="670" spans="1:9" x14ac:dyDescent="0.2">
      <c r="A670" t="s">
        <v>108</v>
      </c>
      <c r="B670" t="s">
        <v>149</v>
      </c>
      <c r="C670" t="s">
        <v>155</v>
      </c>
      <c r="D670" s="32">
        <v>303.59999999999997</v>
      </c>
      <c r="E670" s="32">
        <v>463</v>
      </c>
      <c r="F670" s="32">
        <v>67665.400000000009</v>
      </c>
      <c r="G670" s="32">
        <v>1139.4000000000001</v>
      </c>
      <c r="H670" s="32">
        <v>127018</v>
      </c>
      <c r="I670" s="15" t="s">
        <v>197</v>
      </c>
    </row>
    <row r="671" spans="1:9" x14ac:dyDescent="0.2">
      <c r="A671" t="s">
        <v>4</v>
      </c>
      <c r="B671" t="s">
        <v>149</v>
      </c>
      <c r="C671" t="s">
        <v>155</v>
      </c>
      <c r="D671" s="32">
        <v>2908.8333333333335</v>
      </c>
      <c r="E671" s="32">
        <v>0</v>
      </c>
      <c r="F671" s="32">
        <v>294153</v>
      </c>
      <c r="G671" s="32">
        <v>0</v>
      </c>
      <c r="H671" s="32">
        <v>1136078</v>
      </c>
      <c r="I671" s="15" t="s">
        <v>197</v>
      </c>
    </row>
    <row r="672" spans="1:9" x14ac:dyDescent="0.2">
      <c r="A672" t="s">
        <v>2</v>
      </c>
      <c r="B672" t="s">
        <v>149</v>
      </c>
      <c r="C672" t="s">
        <v>155</v>
      </c>
      <c r="D672" s="32">
        <v>8476.4499999999989</v>
      </c>
      <c r="E672" s="32">
        <v>3564</v>
      </c>
      <c r="F672" s="32">
        <v>3633129</v>
      </c>
      <c r="G672" s="32">
        <v>0</v>
      </c>
      <c r="H672" s="32">
        <v>4267617</v>
      </c>
      <c r="I672" s="15" t="s">
        <v>197</v>
      </c>
    </row>
    <row r="673" spans="1:9" x14ac:dyDescent="0.2">
      <c r="A673" t="s">
        <v>1</v>
      </c>
      <c r="B673" t="s">
        <v>149</v>
      </c>
      <c r="C673" t="s">
        <v>155</v>
      </c>
      <c r="D673" s="32">
        <v>14593.233333333355</v>
      </c>
      <c r="E673" s="32">
        <v>89.257599999999996</v>
      </c>
      <c r="F673" s="32">
        <v>4940648.4895999925</v>
      </c>
      <c r="G673" s="32">
        <v>0</v>
      </c>
      <c r="H673" s="32">
        <v>6511803</v>
      </c>
      <c r="I673" s="15" t="s">
        <v>197</v>
      </c>
    </row>
    <row r="674" spans="1:9" x14ac:dyDescent="0.2">
      <c r="A674" t="s">
        <v>57</v>
      </c>
      <c r="B674" t="s">
        <v>149</v>
      </c>
      <c r="C674" t="s">
        <v>155</v>
      </c>
      <c r="D674" s="32">
        <v>69.25</v>
      </c>
      <c r="E674" s="32">
        <v>0</v>
      </c>
      <c r="F674" s="32">
        <v>0</v>
      </c>
      <c r="G674" s="32">
        <v>0</v>
      </c>
      <c r="H674" s="32">
        <v>25435</v>
      </c>
      <c r="I674" s="15" t="s">
        <v>197</v>
      </c>
    </row>
    <row r="675" spans="1:9" x14ac:dyDescent="0.2">
      <c r="A675" t="s">
        <v>28</v>
      </c>
      <c r="B675" t="s">
        <v>149</v>
      </c>
      <c r="C675" t="s">
        <v>155</v>
      </c>
      <c r="D675" s="32">
        <v>606.08333333333314</v>
      </c>
      <c r="E675" s="32">
        <v>0</v>
      </c>
      <c r="F675" s="32">
        <v>0</v>
      </c>
      <c r="G675" s="32">
        <v>0</v>
      </c>
      <c r="H675" s="32">
        <v>284151</v>
      </c>
      <c r="I675" s="15" t="s">
        <v>197</v>
      </c>
    </row>
    <row r="676" spans="1:9" x14ac:dyDescent="0.2">
      <c r="A676" t="s">
        <v>3</v>
      </c>
      <c r="B676" t="s">
        <v>149</v>
      </c>
      <c r="C676" t="s">
        <v>155</v>
      </c>
      <c r="D676" s="32">
        <v>8999.7999999999938</v>
      </c>
      <c r="E676" s="32">
        <v>0</v>
      </c>
      <c r="F676" s="32">
        <v>6333499.5999999959</v>
      </c>
      <c r="G676" s="32">
        <v>0</v>
      </c>
      <c r="H676" s="32">
        <v>5928720</v>
      </c>
      <c r="I676" s="15" t="s">
        <v>197</v>
      </c>
    </row>
    <row r="677" spans="1:9" x14ac:dyDescent="0.2">
      <c r="A677" t="s">
        <v>6</v>
      </c>
      <c r="B677" t="s">
        <v>149</v>
      </c>
      <c r="C677" t="s">
        <v>155</v>
      </c>
      <c r="D677" s="32">
        <v>1404.6666666666665</v>
      </c>
      <c r="E677" s="32">
        <v>0</v>
      </c>
      <c r="F677" s="32">
        <v>0</v>
      </c>
      <c r="G677" s="32">
        <v>0</v>
      </c>
      <c r="H677" s="32">
        <v>881775</v>
      </c>
      <c r="I677" s="15" t="s">
        <v>197</v>
      </c>
    </row>
    <row r="678" spans="1:9" x14ac:dyDescent="0.2">
      <c r="A678" t="s">
        <v>29</v>
      </c>
      <c r="B678" t="s">
        <v>149</v>
      </c>
      <c r="C678" t="s">
        <v>155</v>
      </c>
      <c r="D678" s="32">
        <v>36.916666666666664</v>
      </c>
      <c r="E678" s="32">
        <v>0</v>
      </c>
      <c r="F678" s="32">
        <v>0</v>
      </c>
      <c r="G678" s="32">
        <v>0</v>
      </c>
      <c r="H678" s="32">
        <v>13800</v>
      </c>
      <c r="I678" s="15" t="s">
        <v>197</v>
      </c>
    </row>
    <row r="679" spans="1:9" x14ac:dyDescent="0.2">
      <c r="A679" t="s">
        <v>170</v>
      </c>
      <c r="B679" t="s">
        <v>149</v>
      </c>
      <c r="C679" t="s">
        <v>155</v>
      </c>
      <c r="D679" s="32">
        <v>846.03333333333342</v>
      </c>
      <c r="E679" s="32">
        <v>0</v>
      </c>
      <c r="F679" s="32">
        <v>208855</v>
      </c>
      <c r="G679" s="32">
        <v>0</v>
      </c>
      <c r="H679" s="32">
        <v>353267</v>
      </c>
      <c r="I679" s="15" t="s">
        <v>197</v>
      </c>
    </row>
    <row r="680" spans="1:9" x14ac:dyDescent="0.2">
      <c r="A680" t="s">
        <v>5</v>
      </c>
      <c r="B680" t="s">
        <v>149</v>
      </c>
      <c r="C680" t="s">
        <v>155</v>
      </c>
      <c r="D680" s="32">
        <v>1032.1333333333369</v>
      </c>
      <c r="E680" s="32">
        <v>0</v>
      </c>
      <c r="F680" s="32">
        <v>2502228</v>
      </c>
      <c r="G680" s="32">
        <v>0</v>
      </c>
      <c r="H680" s="32">
        <v>2387684</v>
      </c>
      <c r="I680" s="15" t="s">
        <v>197</v>
      </c>
    </row>
    <row r="681" spans="1:9" x14ac:dyDescent="0.2">
      <c r="A681" t="s">
        <v>50</v>
      </c>
      <c r="B681" t="s">
        <v>149</v>
      </c>
      <c r="C681" t="s">
        <v>155</v>
      </c>
      <c r="D681" s="32">
        <v>10409.416666666644</v>
      </c>
      <c r="E681" s="32">
        <v>0</v>
      </c>
      <c r="F681" s="32">
        <v>0</v>
      </c>
      <c r="G681" s="32">
        <v>0</v>
      </c>
      <c r="H681" s="32">
        <v>7458273</v>
      </c>
      <c r="I681" s="15" t="s">
        <v>197</v>
      </c>
    </row>
    <row r="682" spans="1:9" x14ac:dyDescent="0.2">
      <c r="A682" t="s">
        <v>61</v>
      </c>
      <c r="B682" t="s">
        <v>150</v>
      </c>
      <c r="C682" t="s">
        <v>156</v>
      </c>
      <c r="D682" s="32">
        <v>142.11666666666667</v>
      </c>
      <c r="E682" s="32">
        <v>0</v>
      </c>
      <c r="F682" s="32">
        <v>0</v>
      </c>
      <c r="G682" s="32">
        <v>0</v>
      </c>
      <c r="H682" s="32">
        <v>212528</v>
      </c>
      <c r="I682" s="15" t="s">
        <v>197</v>
      </c>
    </row>
    <row r="683" spans="1:9" x14ac:dyDescent="0.2">
      <c r="A683" t="s">
        <v>147</v>
      </c>
      <c r="B683" t="s">
        <v>152</v>
      </c>
      <c r="C683" t="s">
        <v>156</v>
      </c>
      <c r="D683" s="32">
        <v>338.66666666666663</v>
      </c>
      <c r="E683" s="32">
        <v>0</v>
      </c>
      <c r="F683" s="32">
        <v>132060</v>
      </c>
      <c r="G683" s="32">
        <v>0</v>
      </c>
      <c r="H683" s="32">
        <v>274800</v>
      </c>
      <c r="I683" s="15" t="s">
        <v>197</v>
      </c>
    </row>
    <row r="684" spans="1:9" x14ac:dyDescent="0.2">
      <c r="A684" t="s">
        <v>4</v>
      </c>
      <c r="B684" t="s">
        <v>149</v>
      </c>
      <c r="C684" t="s">
        <v>156</v>
      </c>
      <c r="D684" s="32">
        <v>56.666666666666664</v>
      </c>
      <c r="E684" s="32">
        <v>0</v>
      </c>
      <c r="F684" s="32">
        <v>7841</v>
      </c>
      <c r="G684" s="32">
        <v>0</v>
      </c>
      <c r="H684" s="32">
        <v>25534</v>
      </c>
      <c r="I684" s="15" t="s">
        <v>197</v>
      </c>
    </row>
    <row r="685" spans="1:9" x14ac:dyDescent="0.2">
      <c r="A685" t="s">
        <v>2</v>
      </c>
      <c r="B685" t="s">
        <v>149</v>
      </c>
      <c r="C685" t="s">
        <v>156</v>
      </c>
      <c r="D685" s="32">
        <v>15252.933333333331</v>
      </c>
      <c r="E685" s="32">
        <v>32740</v>
      </c>
      <c r="F685" s="32">
        <v>6011866</v>
      </c>
      <c r="G685" s="32">
        <v>0</v>
      </c>
      <c r="H685" s="32">
        <v>10503736</v>
      </c>
      <c r="I685" s="15" t="s">
        <v>197</v>
      </c>
    </row>
    <row r="686" spans="1:9" x14ac:dyDescent="0.2">
      <c r="A686" t="s">
        <v>1</v>
      </c>
      <c r="B686" t="s">
        <v>149</v>
      </c>
      <c r="C686" t="s">
        <v>156</v>
      </c>
      <c r="D686" s="32">
        <v>2781.6333333333328</v>
      </c>
      <c r="E686" s="32">
        <v>0</v>
      </c>
      <c r="F686" s="32">
        <v>894396.85480000009</v>
      </c>
      <c r="G686" s="32">
        <v>0</v>
      </c>
      <c r="H686" s="32">
        <v>1497335</v>
      </c>
      <c r="I686" s="15" t="s">
        <v>197</v>
      </c>
    </row>
    <row r="687" spans="1:9" x14ac:dyDescent="0.2">
      <c r="A687" t="s">
        <v>76</v>
      </c>
      <c r="B687" t="s">
        <v>152</v>
      </c>
      <c r="C687" t="s">
        <v>156</v>
      </c>
      <c r="D687" s="32">
        <v>421.99999999999983</v>
      </c>
      <c r="E687" s="32">
        <v>0</v>
      </c>
      <c r="F687" s="32">
        <v>158249</v>
      </c>
      <c r="G687" s="32">
        <v>231</v>
      </c>
      <c r="H687" s="32">
        <v>318984</v>
      </c>
      <c r="I687" s="15" t="s">
        <v>197</v>
      </c>
    </row>
    <row r="688" spans="1:9" x14ac:dyDescent="0.2">
      <c r="A688" t="s">
        <v>57</v>
      </c>
      <c r="B688" t="s">
        <v>149</v>
      </c>
      <c r="C688" t="s">
        <v>156</v>
      </c>
      <c r="D688" s="32">
        <v>451.41666666666674</v>
      </c>
      <c r="E688" s="32">
        <v>0</v>
      </c>
      <c r="F688" s="32">
        <v>0</v>
      </c>
      <c r="G688" s="32">
        <v>0</v>
      </c>
      <c r="H688" s="32">
        <v>293141</v>
      </c>
      <c r="I688" s="15" t="s">
        <v>197</v>
      </c>
    </row>
    <row r="689" spans="1:9" x14ac:dyDescent="0.2">
      <c r="A689" t="s">
        <v>67</v>
      </c>
      <c r="B689" t="s">
        <v>153</v>
      </c>
      <c r="C689" t="s">
        <v>156</v>
      </c>
      <c r="D689" s="32">
        <v>156</v>
      </c>
      <c r="E689" s="32">
        <v>0</v>
      </c>
      <c r="F689" s="32">
        <v>83827</v>
      </c>
      <c r="G689" s="32">
        <v>0</v>
      </c>
      <c r="H689" s="32">
        <v>135312</v>
      </c>
      <c r="I689" s="15" t="s">
        <v>197</v>
      </c>
    </row>
    <row r="690" spans="1:9" x14ac:dyDescent="0.2">
      <c r="A690" t="s">
        <v>12</v>
      </c>
      <c r="B690" t="s">
        <v>151</v>
      </c>
      <c r="C690" t="s">
        <v>156</v>
      </c>
      <c r="D690" s="32">
        <v>1145.4333333333341</v>
      </c>
      <c r="E690" s="32">
        <v>27486</v>
      </c>
      <c r="F690" s="32">
        <v>712442</v>
      </c>
      <c r="G690" s="32">
        <v>0</v>
      </c>
      <c r="H690" s="32">
        <v>805135</v>
      </c>
      <c r="I690" s="15" t="s">
        <v>197</v>
      </c>
    </row>
    <row r="691" spans="1:9" x14ac:dyDescent="0.2">
      <c r="A691" t="s">
        <v>39</v>
      </c>
      <c r="B691" t="s">
        <v>153</v>
      </c>
      <c r="C691" t="s">
        <v>156</v>
      </c>
      <c r="D691" s="32">
        <v>421.25</v>
      </c>
      <c r="E691" s="32">
        <v>0</v>
      </c>
      <c r="F691" s="32">
        <v>16575</v>
      </c>
      <c r="G691" s="32">
        <v>0</v>
      </c>
      <c r="H691" s="32">
        <v>334866</v>
      </c>
      <c r="I691" s="15" t="s">
        <v>197</v>
      </c>
    </row>
    <row r="692" spans="1:9" x14ac:dyDescent="0.2">
      <c r="A692" t="s">
        <v>65</v>
      </c>
      <c r="B692" t="s">
        <v>153</v>
      </c>
      <c r="C692" t="s">
        <v>156</v>
      </c>
      <c r="D692" s="32">
        <v>836</v>
      </c>
      <c r="E692" s="32">
        <v>16440</v>
      </c>
      <c r="F692" s="32">
        <v>414058</v>
      </c>
      <c r="G692" s="32">
        <v>0</v>
      </c>
      <c r="H692" s="32">
        <v>761672</v>
      </c>
      <c r="I692" s="15" t="s">
        <v>197</v>
      </c>
    </row>
    <row r="693" spans="1:9" x14ac:dyDescent="0.2">
      <c r="A693" t="s">
        <v>68</v>
      </c>
      <c r="B693" t="s">
        <v>151</v>
      </c>
      <c r="C693" t="s">
        <v>156</v>
      </c>
      <c r="D693" s="32">
        <v>75.799999999999983</v>
      </c>
      <c r="E693" s="32">
        <v>0</v>
      </c>
      <c r="F693" s="32">
        <v>99461</v>
      </c>
      <c r="G693" s="32">
        <v>0</v>
      </c>
      <c r="H693" s="32">
        <v>68232</v>
      </c>
      <c r="I693" s="15" t="s">
        <v>197</v>
      </c>
    </row>
    <row r="694" spans="1:9" x14ac:dyDescent="0.2">
      <c r="A694" t="s">
        <v>10</v>
      </c>
      <c r="B694" t="s">
        <v>150</v>
      </c>
      <c r="C694" t="s">
        <v>156</v>
      </c>
      <c r="D694" s="32">
        <v>2901.7166666666749</v>
      </c>
      <c r="E694" s="32">
        <v>0</v>
      </c>
      <c r="F694" s="32">
        <v>12613387</v>
      </c>
      <c r="G694" s="32">
        <v>0</v>
      </c>
      <c r="H694" s="32">
        <v>1196478</v>
      </c>
      <c r="I694" s="15" t="s">
        <v>197</v>
      </c>
    </row>
    <row r="695" spans="1:9" x14ac:dyDescent="0.2">
      <c r="A695" t="s">
        <v>8</v>
      </c>
      <c r="B695" t="s">
        <v>150</v>
      </c>
      <c r="C695" t="s">
        <v>156</v>
      </c>
      <c r="D695" s="32">
        <v>5754.5333333332046</v>
      </c>
      <c r="E695" s="32">
        <v>125476</v>
      </c>
      <c r="F695" s="32">
        <v>3085892</v>
      </c>
      <c r="G695" s="32">
        <v>0</v>
      </c>
      <c r="H695" s="32">
        <v>3437909</v>
      </c>
      <c r="I695" s="15" t="s">
        <v>197</v>
      </c>
    </row>
    <row r="696" spans="1:9" x14ac:dyDescent="0.2">
      <c r="A696" t="s">
        <v>17</v>
      </c>
      <c r="B696" t="s">
        <v>150</v>
      </c>
      <c r="C696" t="s">
        <v>156</v>
      </c>
      <c r="D696" s="32">
        <v>108</v>
      </c>
      <c r="E696" s="32">
        <v>0</v>
      </c>
      <c r="F696" s="32">
        <v>0</v>
      </c>
      <c r="G696" s="32">
        <v>0</v>
      </c>
      <c r="H696" s="32">
        <v>75679</v>
      </c>
      <c r="I696" s="15" t="s">
        <v>197</v>
      </c>
    </row>
    <row r="697" spans="1:9" x14ac:dyDescent="0.2">
      <c r="A697" t="s">
        <v>52</v>
      </c>
      <c r="B697" t="s">
        <v>150</v>
      </c>
      <c r="C697" t="s">
        <v>156</v>
      </c>
      <c r="D697" s="32">
        <v>112</v>
      </c>
      <c r="E697" s="32">
        <v>0</v>
      </c>
      <c r="F697" s="32">
        <v>0</v>
      </c>
      <c r="G697" s="32">
        <v>0</v>
      </c>
      <c r="H697" s="32">
        <v>69296</v>
      </c>
      <c r="I697" s="15" t="s">
        <v>197</v>
      </c>
    </row>
    <row r="698" spans="1:9" x14ac:dyDescent="0.2">
      <c r="A698" t="s">
        <v>34</v>
      </c>
      <c r="B698" t="s">
        <v>152</v>
      </c>
      <c r="C698" t="s">
        <v>156</v>
      </c>
      <c r="D698" s="32">
        <v>1164.833333333333</v>
      </c>
      <c r="E698" s="32">
        <v>2160</v>
      </c>
      <c r="F698" s="32">
        <v>568502</v>
      </c>
      <c r="G698" s="32">
        <v>0</v>
      </c>
      <c r="H698" s="32">
        <v>841080</v>
      </c>
      <c r="I698" s="15" t="s">
        <v>197</v>
      </c>
    </row>
    <row r="699" spans="1:9" x14ac:dyDescent="0.2">
      <c r="A699" t="s">
        <v>56</v>
      </c>
      <c r="B699" t="s">
        <v>153</v>
      </c>
      <c r="C699" t="s">
        <v>156</v>
      </c>
      <c r="D699" s="32">
        <v>132.64999999999998</v>
      </c>
      <c r="E699" s="32">
        <v>0</v>
      </c>
      <c r="F699" s="32">
        <v>41230</v>
      </c>
      <c r="G699" s="32">
        <v>0</v>
      </c>
      <c r="H699" s="32">
        <v>109960</v>
      </c>
      <c r="I699" s="15" t="s">
        <v>197</v>
      </c>
    </row>
    <row r="700" spans="1:9" x14ac:dyDescent="0.2">
      <c r="A700" t="s">
        <v>20</v>
      </c>
      <c r="B700" t="s">
        <v>153</v>
      </c>
      <c r="C700" t="s">
        <v>156</v>
      </c>
      <c r="D700" s="32">
        <v>850</v>
      </c>
      <c r="E700" s="32">
        <v>0</v>
      </c>
      <c r="F700" s="32">
        <v>380728</v>
      </c>
      <c r="G700" s="32">
        <v>0</v>
      </c>
      <c r="H700" s="32">
        <v>733791</v>
      </c>
      <c r="I700" s="15" t="s">
        <v>197</v>
      </c>
    </row>
    <row r="701" spans="1:9" x14ac:dyDescent="0.2">
      <c r="A701" t="s">
        <v>18</v>
      </c>
      <c r="B701" t="s">
        <v>153</v>
      </c>
      <c r="C701" t="s">
        <v>156</v>
      </c>
      <c r="D701" s="32">
        <v>653.33333333333314</v>
      </c>
      <c r="E701" s="32">
        <v>0</v>
      </c>
      <c r="F701" s="32">
        <v>0</v>
      </c>
      <c r="G701" s="32">
        <v>0</v>
      </c>
      <c r="H701" s="32">
        <v>529640</v>
      </c>
      <c r="I701" s="15" t="s">
        <v>197</v>
      </c>
    </row>
    <row r="702" spans="1:9" x14ac:dyDescent="0.2">
      <c r="A702" t="s">
        <v>148</v>
      </c>
      <c r="B702" t="s">
        <v>154</v>
      </c>
      <c r="C702" t="s">
        <v>156</v>
      </c>
      <c r="D702" s="32">
        <v>3569.0500000000029</v>
      </c>
      <c r="E702" s="32">
        <v>0</v>
      </c>
      <c r="F702" s="32">
        <v>0</v>
      </c>
      <c r="G702" s="32">
        <v>0</v>
      </c>
      <c r="H702" s="32">
        <v>1174068</v>
      </c>
      <c r="I702" s="15" t="s">
        <v>197</v>
      </c>
    </row>
    <row r="703" spans="1:9" x14ac:dyDescent="0.2">
      <c r="A703" t="s">
        <v>7</v>
      </c>
      <c r="B703" t="s">
        <v>150</v>
      </c>
      <c r="C703" t="s">
        <v>156</v>
      </c>
      <c r="D703" s="32">
        <v>2711.5666666666675</v>
      </c>
      <c r="E703" s="32">
        <v>0</v>
      </c>
      <c r="F703" s="32">
        <v>0</v>
      </c>
      <c r="G703" s="32">
        <v>0</v>
      </c>
      <c r="H703" s="32">
        <v>1781152</v>
      </c>
      <c r="I703" s="15" t="s">
        <v>197</v>
      </c>
    </row>
    <row r="704" spans="1:9" x14ac:dyDescent="0.2">
      <c r="A704" t="s">
        <v>31</v>
      </c>
      <c r="B704" t="s">
        <v>152</v>
      </c>
      <c r="C704" t="s">
        <v>156</v>
      </c>
      <c r="D704" s="32">
        <v>2245.2666666666642</v>
      </c>
      <c r="E704" s="32">
        <v>67</v>
      </c>
      <c r="F704" s="32">
        <v>1363818</v>
      </c>
      <c r="G704" s="32">
        <v>4707</v>
      </c>
      <c r="H704" s="32">
        <v>1507302</v>
      </c>
      <c r="I704" s="15" t="s">
        <v>197</v>
      </c>
    </row>
    <row r="705" spans="1:9" x14ac:dyDescent="0.2">
      <c r="A705" t="s">
        <v>33</v>
      </c>
      <c r="B705" t="s">
        <v>152</v>
      </c>
      <c r="C705" t="s">
        <v>156</v>
      </c>
      <c r="D705" s="32">
        <v>209.99999999999997</v>
      </c>
      <c r="E705" s="32">
        <v>66</v>
      </c>
      <c r="F705" s="32">
        <v>307953</v>
      </c>
      <c r="G705" s="32">
        <v>58376</v>
      </c>
      <c r="H705" s="32">
        <v>141480</v>
      </c>
      <c r="I705" s="15" t="s">
        <v>197</v>
      </c>
    </row>
    <row r="706" spans="1:9" x14ac:dyDescent="0.2">
      <c r="A706" t="s">
        <v>9</v>
      </c>
      <c r="B706" t="s">
        <v>150</v>
      </c>
      <c r="C706" t="s">
        <v>156</v>
      </c>
      <c r="D706" s="32">
        <v>3790.2500000000005</v>
      </c>
      <c r="E706" s="32">
        <v>26600</v>
      </c>
      <c r="F706" s="32">
        <v>2137364</v>
      </c>
      <c r="G706" s="32">
        <v>0</v>
      </c>
      <c r="H706" s="32">
        <v>2495613</v>
      </c>
      <c r="I706" s="15" t="s">
        <v>197</v>
      </c>
    </row>
    <row r="707" spans="1:9" x14ac:dyDescent="0.2">
      <c r="A707" t="s">
        <v>63</v>
      </c>
      <c r="B707" t="s">
        <v>152</v>
      </c>
      <c r="C707" t="s">
        <v>156</v>
      </c>
      <c r="D707" s="32">
        <v>69.75</v>
      </c>
      <c r="E707" s="32">
        <v>0</v>
      </c>
      <c r="F707" s="32">
        <v>0</v>
      </c>
      <c r="G707" s="32">
        <v>0</v>
      </c>
      <c r="H707" s="32">
        <v>35904</v>
      </c>
      <c r="I707" s="15" t="s">
        <v>197</v>
      </c>
    </row>
    <row r="708" spans="1:9" x14ac:dyDescent="0.2">
      <c r="A708" t="s">
        <v>111</v>
      </c>
      <c r="B708" t="s">
        <v>154</v>
      </c>
      <c r="C708" t="s">
        <v>156</v>
      </c>
      <c r="D708" s="32">
        <v>723.8000000000003</v>
      </c>
      <c r="E708" s="32">
        <v>0</v>
      </c>
      <c r="F708" s="32">
        <v>0</v>
      </c>
      <c r="G708" s="32">
        <v>0</v>
      </c>
      <c r="H708" s="32">
        <v>571380</v>
      </c>
      <c r="I708" s="15" t="s">
        <v>197</v>
      </c>
    </row>
    <row r="709" spans="1:9" x14ac:dyDescent="0.2">
      <c r="A709" t="s">
        <v>172</v>
      </c>
      <c r="B709" t="s">
        <v>150</v>
      </c>
      <c r="C709" t="s">
        <v>156</v>
      </c>
      <c r="D709" s="32">
        <v>976.75000000000114</v>
      </c>
      <c r="E709" s="32">
        <v>20</v>
      </c>
      <c r="F709" s="32">
        <v>233370</v>
      </c>
      <c r="G709" s="32">
        <v>0</v>
      </c>
      <c r="H709" s="32">
        <v>525928</v>
      </c>
      <c r="I709" s="15" t="s">
        <v>197</v>
      </c>
    </row>
    <row r="710" spans="1:9" x14ac:dyDescent="0.2">
      <c r="A710" t="s">
        <v>28</v>
      </c>
      <c r="B710" t="s">
        <v>149</v>
      </c>
      <c r="C710" t="s">
        <v>156</v>
      </c>
      <c r="D710" s="32">
        <v>73.083333333333329</v>
      </c>
      <c r="E710" s="32">
        <v>0</v>
      </c>
      <c r="F710" s="32">
        <v>0</v>
      </c>
      <c r="G710" s="32">
        <v>0</v>
      </c>
      <c r="H710" s="32">
        <v>38097</v>
      </c>
      <c r="I710" s="15" t="s">
        <v>197</v>
      </c>
    </row>
    <row r="711" spans="1:9" x14ac:dyDescent="0.2">
      <c r="A711" t="s">
        <v>106</v>
      </c>
      <c r="B711" t="s">
        <v>153</v>
      </c>
      <c r="C711" t="s">
        <v>156</v>
      </c>
      <c r="D711" s="32">
        <v>320.66666666666663</v>
      </c>
      <c r="E711" s="32">
        <v>0</v>
      </c>
      <c r="F711" s="32">
        <v>10662</v>
      </c>
      <c r="G711" s="32">
        <v>0</v>
      </c>
      <c r="H711" s="32">
        <v>255136</v>
      </c>
      <c r="I711" s="15" t="s">
        <v>197</v>
      </c>
    </row>
    <row r="712" spans="1:9" x14ac:dyDescent="0.2">
      <c r="A712" t="s">
        <v>14</v>
      </c>
      <c r="B712" t="s">
        <v>150</v>
      </c>
      <c r="C712" t="s">
        <v>156</v>
      </c>
      <c r="D712" s="32">
        <v>354</v>
      </c>
      <c r="E712" s="32">
        <v>0</v>
      </c>
      <c r="F712" s="32">
        <v>0</v>
      </c>
      <c r="G712" s="32">
        <v>0</v>
      </c>
      <c r="H712" s="32">
        <v>277074</v>
      </c>
      <c r="I712" s="15" t="s">
        <v>197</v>
      </c>
    </row>
    <row r="713" spans="1:9" x14ac:dyDescent="0.2">
      <c r="A713" t="s">
        <v>13</v>
      </c>
      <c r="B713" t="s">
        <v>150</v>
      </c>
      <c r="C713" t="s">
        <v>156</v>
      </c>
      <c r="D713" s="32">
        <v>531.93333333333362</v>
      </c>
      <c r="E713" s="32">
        <v>0</v>
      </c>
      <c r="F713" s="32">
        <v>452940</v>
      </c>
      <c r="G713" s="32">
        <v>0</v>
      </c>
      <c r="H713" s="32">
        <v>388752</v>
      </c>
      <c r="I713" s="15" t="s">
        <v>197</v>
      </c>
    </row>
    <row r="714" spans="1:9" x14ac:dyDescent="0.2">
      <c r="A714" t="s">
        <v>60</v>
      </c>
      <c r="B714" t="s">
        <v>150</v>
      </c>
      <c r="C714" t="s">
        <v>156</v>
      </c>
      <c r="D714" s="32">
        <v>80.466666666666669</v>
      </c>
      <c r="E714" s="32">
        <v>0</v>
      </c>
      <c r="F714" s="32">
        <v>20362</v>
      </c>
      <c r="G714" s="32">
        <v>0</v>
      </c>
      <c r="H714" s="32">
        <v>37876</v>
      </c>
      <c r="I714" s="15" t="s">
        <v>197</v>
      </c>
    </row>
    <row r="715" spans="1:9" x14ac:dyDescent="0.2">
      <c r="A715" t="s">
        <v>64</v>
      </c>
      <c r="B715" t="s">
        <v>153</v>
      </c>
      <c r="C715" t="s">
        <v>156</v>
      </c>
      <c r="D715" s="32">
        <v>1260</v>
      </c>
      <c r="E715" s="32">
        <v>9436</v>
      </c>
      <c r="F715" s="32">
        <v>639750</v>
      </c>
      <c r="G715" s="32">
        <v>9523</v>
      </c>
      <c r="H715" s="32">
        <v>1089600</v>
      </c>
      <c r="I715" s="15" t="s">
        <v>197</v>
      </c>
    </row>
    <row r="716" spans="1:9" x14ac:dyDescent="0.2">
      <c r="A716" t="s">
        <v>3</v>
      </c>
      <c r="B716" t="s">
        <v>149</v>
      </c>
      <c r="C716" t="s">
        <v>156</v>
      </c>
      <c r="D716" s="32">
        <v>2952.6833333333316</v>
      </c>
      <c r="E716" s="32">
        <v>0</v>
      </c>
      <c r="F716" s="32">
        <v>977144.79999999912</v>
      </c>
      <c r="G716" s="32">
        <v>0</v>
      </c>
      <c r="H716" s="32">
        <v>2157132</v>
      </c>
      <c r="I716" s="15" t="s">
        <v>197</v>
      </c>
    </row>
    <row r="717" spans="1:9" x14ac:dyDescent="0.2">
      <c r="A717" t="s">
        <v>58</v>
      </c>
      <c r="B717" t="s">
        <v>150</v>
      </c>
      <c r="C717" t="s">
        <v>156</v>
      </c>
      <c r="D717" s="32">
        <v>646.17999999999995</v>
      </c>
      <c r="E717" s="32">
        <v>0</v>
      </c>
      <c r="F717" s="32">
        <v>338988</v>
      </c>
      <c r="G717" s="32">
        <v>0</v>
      </c>
      <c r="H717" s="32">
        <v>462060</v>
      </c>
      <c r="I717" s="15" t="s">
        <v>197</v>
      </c>
    </row>
    <row r="718" spans="1:9" x14ac:dyDescent="0.2">
      <c r="A718" t="s">
        <v>35</v>
      </c>
      <c r="B718" t="s">
        <v>153</v>
      </c>
      <c r="C718" t="s">
        <v>156</v>
      </c>
      <c r="D718" s="32">
        <v>680</v>
      </c>
      <c r="E718" s="32">
        <v>36459</v>
      </c>
      <c r="F718" s="32">
        <v>301511</v>
      </c>
      <c r="G718" s="32">
        <v>0</v>
      </c>
      <c r="H718" s="32">
        <v>626960</v>
      </c>
      <c r="I718" s="15" t="s">
        <v>197</v>
      </c>
    </row>
    <row r="719" spans="1:9" x14ac:dyDescent="0.2">
      <c r="A719" t="s">
        <v>32</v>
      </c>
      <c r="B719" t="s">
        <v>152</v>
      </c>
      <c r="C719" t="s">
        <v>156</v>
      </c>
      <c r="D719" s="32">
        <v>120</v>
      </c>
      <c r="E719" s="32">
        <v>0</v>
      </c>
      <c r="F719" s="32">
        <v>92924</v>
      </c>
      <c r="G719" s="32">
        <v>0</v>
      </c>
      <c r="H719" s="32">
        <v>75300</v>
      </c>
      <c r="I719" s="15" t="s">
        <v>197</v>
      </c>
    </row>
    <row r="720" spans="1:9" x14ac:dyDescent="0.2">
      <c r="A720" t="s">
        <v>62</v>
      </c>
      <c r="B720" t="s">
        <v>152</v>
      </c>
      <c r="C720" t="s">
        <v>156</v>
      </c>
      <c r="D720" s="32">
        <v>578</v>
      </c>
      <c r="E720" s="32">
        <v>0</v>
      </c>
      <c r="F720" s="32">
        <v>237610</v>
      </c>
      <c r="G720" s="32">
        <v>80</v>
      </c>
      <c r="H720" s="32">
        <v>444468</v>
      </c>
      <c r="I720" s="15" t="s">
        <v>197</v>
      </c>
    </row>
    <row r="721" spans="1:9" x14ac:dyDescent="0.2">
      <c r="A721" t="s">
        <v>112</v>
      </c>
      <c r="B721" t="s">
        <v>152</v>
      </c>
      <c r="C721" t="s">
        <v>156</v>
      </c>
      <c r="D721" s="32">
        <v>180</v>
      </c>
      <c r="E721" s="32">
        <v>0</v>
      </c>
      <c r="F721" s="32">
        <v>107840</v>
      </c>
      <c r="G721" s="32">
        <v>0</v>
      </c>
      <c r="H721" s="32">
        <v>136320</v>
      </c>
      <c r="I721" s="15" t="s">
        <v>197</v>
      </c>
    </row>
    <row r="722" spans="1:9" x14ac:dyDescent="0.2">
      <c r="A722" t="s">
        <v>19</v>
      </c>
      <c r="B722" t="s">
        <v>152</v>
      </c>
      <c r="C722" t="s">
        <v>156</v>
      </c>
      <c r="D722" s="32">
        <v>792</v>
      </c>
      <c r="E722" s="32">
        <v>0</v>
      </c>
      <c r="F722" s="32">
        <v>465015</v>
      </c>
      <c r="G722" s="32">
        <v>65</v>
      </c>
      <c r="H722" s="32">
        <v>573816</v>
      </c>
      <c r="I722" s="15" t="s">
        <v>197</v>
      </c>
    </row>
    <row r="723" spans="1:9" x14ac:dyDescent="0.2">
      <c r="A723" t="s">
        <v>66</v>
      </c>
      <c r="B723" t="s">
        <v>153</v>
      </c>
      <c r="C723" t="s">
        <v>156</v>
      </c>
      <c r="D723" s="32">
        <v>1000</v>
      </c>
      <c r="E723" s="32">
        <v>11527</v>
      </c>
      <c r="F723" s="32">
        <v>529491</v>
      </c>
      <c r="G723" s="32">
        <v>0</v>
      </c>
      <c r="H723" s="32">
        <v>968890</v>
      </c>
      <c r="I723" s="15" t="s">
        <v>197</v>
      </c>
    </row>
    <row r="724" spans="1:9" x14ac:dyDescent="0.2">
      <c r="A724" t="s">
        <v>99</v>
      </c>
      <c r="B724" t="s">
        <v>153</v>
      </c>
      <c r="C724" t="s">
        <v>156</v>
      </c>
      <c r="D724" s="32">
        <v>525</v>
      </c>
      <c r="E724" s="32">
        <v>0</v>
      </c>
      <c r="F724" s="32">
        <v>0</v>
      </c>
      <c r="G724" s="32">
        <v>0</v>
      </c>
      <c r="H724" s="32">
        <v>401730</v>
      </c>
      <c r="I724" s="15" t="s">
        <v>197</v>
      </c>
    </row>
    <row r="725" spans="1:9" x14ac:dyDescent="0.2">
      <c r="A725" t="s">
        <v>188</v>
      </c>
      <c r="B725" t="s">
        <v>153</v>
      </c>
      <c r="C725" t="s">
        <v>156</v>
      </c>
      <c r="D725" s="32">
        <v>64</v>
      </c>
      <c r="E725" s="32">
        <v>0</v>
      </c>
      <c r="F725" s="32">
        <v>0</v>
      </c>
      <c r="G725" s="32">
        <v>0</v>
      </c>
      <c r="H725" s="32">
        <v>38128</v>
      </c>
      <c r="I725" s="15" t="s">
        <v>197</v>
      </c>
    </row>
    <row r="726" spans="1:9" x14ac:dyDescent="0.2">
      <c r="A726" t="s">
        <v>29</v>
      </c>
      <c r="B726" t="s">
        <v>149</v>
      </c>
      <c r="C726" t="s">
        <v>156</v>
      </c>
      <c r="D726" s="32">
        <v>381.86666666666667</v>
      </c>
      <c r="E726" s="32">
        <v>0</v>
      </c>
      <c r="F726" s="32">
        <v>0</v>
      </c>
      <c r="G726" s="32">
        <v>0</v>
      </c>
      <c r="H726" s="32">
        <v>254794</v>
      </c>
      <c r="I726" s="15" t="s">
        <v>197</v>
      </c>
    </row>
    <row r="727" spans="1:9" x14ac:dyDescent="0.2">
      <c r="A727" t="s">
        <v>59</v>
      </c>
      <c r="B727" t="s">
        <v>150</v>
      </c>
      <c r="C727" t="s">
        <v>156</v>
      </c>
      <c r="D727" s="32">
        <v>1400.0000000000082</v>
      </c>
      <c r="E727" s="32">
        <v>0</v>
      </c>
      <c r="F727" s="32">
        <v>480117</v>
      </c>
      <c r="G727" s="32">
        <v>0</v>
      </c>
      <c r="H727" s="32">
        <v>752762</v>
      </c>
      <c r="I727" s="15" t="s">
        <v>197</v>
      </c>
    </row>
    <row r="728" spans="1:9" x14ac:dyDescent="0.2">
      <c r="A728" t="s">
        <v>38</v>
      </c>
      <c r="B728" t="s">
        <v>150</v>
      </c>
      <c r="C728" t="s">
        <v>156</v>
      </c>
      <c r="D728" s="32">
        <v>116</v>
      </c>
      <c r="E728" s="32">
        <v>0</v>
      </c>
      <c r="F728" s="32">
        <v>74225</v>
      </c>
      <c r="G728" s="32">
        <v>0</v>
      </c>
      <c r="H728" s="32">
        <v>77934</v>
      </c>
      <c r="I728" s="15" t="s">
        <v>197</v>
      </c>
    </row>
    <row r="729" spans="1:9" x14ac:dyDescent="0.2">
      <c r="A729" t="s">
        <v>48</v>
      </c>
      <c r="B729" t="s">
        <v>153</v>
      </c>
      <c r="C729" t="s">
        <v>156</v>
      </c>
      <c r="D729" s="32">
        <v>136.85</v>
      </c>
      <c r="E729" s="32">
        <v>0</v>
      </c>
      <c r="F729" s="32">
        <v>50940</v>
      </c>
      <c r="G729" s="32">
        <v>0</v>
      </c>
      <c r="H729" s="32">
        <v>105834</v>
      </c>
      <c r="I729" s="15" t="s">
        <v>197</v>
      </c>
    </row>
    <row r="730" spans="1:9" x14ac:dyDescent="0.2">
      <c r="A730" t="s">
        <v>26</v>
      </c>
      <c r="B730" t="s">
        <v>153</v>
      </c>
      <c r="C730" t="s">
        <v>156</v>
      </c>
      <c r="D730" s="32">
        <v>220.55</v>
      </c>
      <c r="E730" s="32">
        <v>0</v>
      </c>
      <c r="F730" s="32">
        <v>10726</v>
      </c>
      <c r="G730" s="32">
        <v>0</v>
      </c>
      <c r="H730" s="32">
        <v>175406</v>
      </c>
      <c r="I730" s="15" t="s">
        <v>197</v>
      </c>
    </row>
    <row r="731" spans="1:9" x14ac:dyDescent="0.2">
      <c r="A731" t="s">
        <v>110</v>
      </c>
      <c r="B731" t="s">
        <v>154</v>
      </c>
      <c r="C731" t="s">
        <v>156</v>
      </c>
      <c r="D731" s="32">
        <v>558.16666666666686</v>
      </c>
      <c r="E731" s="32">
        <v>0</v>
      </c>
      <c r="F731" s="32">
        <v>0</v>
      </c>
      <c r="G731" s="32">
        <v>0</v>
      </c>
      <c r="H731" s="32">
        <v>480624</v>
      </c>
      <c r="I731" s="15" t="s">
        <v>197</v>
      </c>
    </row>
    <row r="732" spans="1:9" x14ac:dyDescent="0.2">
      <c r="A732" t="s">
        <v>88</v>
      </c>
      <c r="B732" t="s">
        <v>150</v>
      </c>
      <c r="C732" t="s">
        <v>156</v>
      </c>
      <c r="D732" s="32">
        <v>1904.0999999999985</v>
      </c>
      <c r="E732" s="32">
        <v>0</v>
      </c>
      <c r="F732" s="32">
        <v>0</v>
      </c>
      <c r="G732" s="32">
        <v>0</v>
      </c>
      <c r="H732" s="32">
        <v>1358464</v>
      </c>
      <c r="I732" s="15" t="s">
        <v>197</v>
      </c>
    </row>
    <row r="733" spans="1:9" x14ac:dyDescent="0.2">
      <c r="A733" t="s">
        <v>109</v>
      </c>
      <c r="B733" t="s">
        <v>150</v>
      </c>
      <c r="C733" t="s">
        <v>156</v>
      </c>
      <c r="D733" s="32">
        <v>1482.4666666666672</v>
      </c>
      <c r="E733" s="32">
        <v>0</v>
      </c>
      <c r="F733" s="32">
        <v>837750</v>
      </c>
      <c r="G733" s="32">
        <v>0</v>
      </c>
      <c r="H733" s="32">
        <v>1002076</v>
      </c>
      <c r="I733" s="15" t="s">
        <v>197</v>
      </c>
    </row>
    <row r="734" spans="1:9" x14ac:dyDescent="0.2">
      <c r="A734" t="s">
        <v>16</v>
      </c>
      <c r="B734" t="s">
        <v>150</v>
      </c>
      <c r="C734" t="s">
        <v>156</v>
      </c>
      <c r="D734" s="32">
        <v>386.99999999999994</v>
      </c>
      <c r="E734" s="32">
        <v>0</v>
      </c>
      <c r="F734" s="32">
        <v>235178.38015999997</v>
      </c>
      <c r="G734" s="32">
        <v>0</v>
      </c>
      <c r="H734" s="32">
        <v>226894</v>
      </c>
      <c r="I734" s="15" t="s">
        <v>197</v>
      </c>
    </row>
    <row r="735" spans="1:9" x14ac:dyDescent="0.2">
      <c r="A735" t="s">
        <v>69</v>
      </c>
      <c r="B735" t="s">
        <v>151</v>
      </c>
      <c r="C735" t="s">
        <v>156</v>
      </c>
      <c r="D735" s="32">
        <v>536.95000000000016</v>
      </c>
      <c r="E735" s="32">
        <v>0</v>
      </c>
      <c r="F735" s="32">
        <v>422934</v>
      </c>
      <c r="G735" s="32">
        <v>0</v>
      </c>
      <c r="H735" s="32">
        <v>467098</v>
      </c>
      <c r="I735" s="15" t="s">
        <v>197</v>
      </c>
    </row>
    <row r="736" spans="1:9" x14ac:dyDescent="0.2">
      <c r="A736" t="s">
        <v>36</v>
      </c>
      <c r="B736" t="s">
        <v>152</v>
      </c>
      <c r="C736" t="s">
        <v>156</v>
      </c>
      <c r="D736" s="32">
        <v>216</v>
      </c>
      <c r="E736" s="32">
        <v>7832</v>
      </c>
      <c r="F736" s="32">
        <v>123600</v>
      </c>
      <c r="G736" s="32">
        <v>0</v>
      </c>
      <c r="H736" s="32">
        <v>135864</v>
      </c>
      <c r="I736" s="15" t="s">
        <v>197</v>
      </c>
    </row>
    <row r="737" spans="1:9" x14ac:dyDescent="0.2">
      <c r="A737" t="s">
        <v>51</v>
      </c>
      <c r="B737" t="s">
        <v>152</v>
      </c>
      <c r="C737" t="s">
        <v>156</v>
      </c>
      <c r="D737" s="32">
        <v>404</v>
      </c>
      <c r="E737" s="32">
        <v>1042</v>
      </c>
      <c r="F737" s="32">
        <v>142365</v>
      </c>
      <c r="G737" s="32">
        <v>0</v>
      </c>
      <c r="H737" s="32">
        <v>352894</v>
      </c>
      <c r="I737" s="15" t="s">
        <v>197</v>
      </c>
    </row>
    <row r="738" spans="1:9" x14ac:dyDescent="0.2">
      <c r="A738" t="s">
        <v>79</v>
      </c>
      <c r="B738" t="s">
        <v>152</v>
      </c>
      <c r="C738" t="s">
        <v>156</v>
      </c>
      <c r="D738" s="32">
        <v>817</v>
      </c>
      <c r="E738" s="32">
        <v>0</v>
      </c>
      <c r="F738" s="32">
        <v>270644</v>
      </c>
      <c r="G738" s="32">
        <v>23</v>
      </c>
      <c r="H738" s="32">
        <v>616668</v>
      </c>
      <c r="I738" s="15" t="s">
        <v>197</v>
      </c>
    </row>
    <row r="739" spans="1:9" x14ac:dyDescent="0.2">
      <c r="A739" t="s">
        <v>40</v>
      </c>
      <c r="B739" t="s">
        <v>152</v>
      </c>
      <c r="C739" t="s">
        <v>156</v>
      </c>
      <c r="D739" s="32">
        <v>10</v>
      </c>
      <c r="E739" s="32">
        <v>0</v>
      </c>
      <c r="F739" s="32">
        <v>0</v>
      </c>
      <c r="G739" s="32">
        <v>0</v>
      </c>
      <c r="H739" s="32">
        <v>6316</v>
      </c>
      <c r="I739" s="15" t="s">
        <v>197</v>
      </c>
    </row>
    <row r="740" spans="1:9" x14ac:dyDescent="0.2">
      <c r="A740" t="s">
        <v>44</v>
      </c>
      <c r="B740" t="s">
        <v>153</v>
      </c>
      <c r="C740" t="s">
        <v>156</v>
      </c>
      <c r="D740" s="32">
        <v>506.25</v>
      </c>
      <c r="E740" s="32">
        <v>0</v>
      </c>
      <c r="F740" s="32">
        <v>180302</v>
      </c>
      <c r="G740" s="32">
        <v>0</v>
      </c>
      <c r="H740" s="32">
        <v>391778</v>
      </c>
      <c r="I740" s="15" t="s">
        <v>197</v>
      </c>
    </row>
    <row r="741" spans="1:9" x14ac:dyDescent="0.2">
      <c r="A741" t="s">
        <v>89</v>
      </c>
      <c r="B741" t="s">
        <v>152</v>
      </c>
      <c r="C741" t="s">
        <v>156</v>
      </c>
      <c r="D741" s="32">
        <v>72.583333333333329</v>
      </c>
      <c r="E741" s="32">
        <v>0</v>
      </c>
      <c r="F741" s="32">
        <v>6455</v>
      </c>
      <c r="G741" s="32">
        <v>0</v>
      </c>
      <c r="H741" s="32">
        <v>35028</v>
      </c>
      <c r="I741" s="15" t="s">
        <v>197</v>
      </c>
    </row>
    <row r="742" spans="1:9" x14ac:dyDescent="0.2">
      <c r="A742" t="s">
        <v>22</v>
      </c>
      <c r="B742" t="s">
        <v>153</v>
      </c>
      <c r="C742" t="s">
        <v>156</v>
      </c>
      <c r="D742" s="32">
        <v>172.13333333333333</v>
      </c>
      <c r="E742" s="32">
        <v>0</v>
      </c>
      <c r="F742" s="32">
        <v>53940</v>
      </c>
      <c r="G742" s="32">
        <v>0</v>
      </c>
      <c r="H742" s="32">
        <v>133024</v>
      </c>
      <c r="I742" s="15" t="s">
        <v>197</v>
      </c>
    </row>
    <row r="743" spans="1:9" x14ac:dyDescent="0.2">
      <c r="A743" t="s">
        <v>21</v>
      </c>
      <c r="B743" t="s">
        <v>153</v>
      </c>
      <c r="C743" t="s">
        <v>156</v>
      </c>
      <c r="D743" s="32">
        <v>279.2833333333333</v>
      </c>
      <c r="E743" s="32">
        <v>0</v>
      </c>
      <c r="F743" s="32">
        <v>83420</v>
      </c>
      <c r="G743" s="32">
        <v>0</v>
      </c>
      <c r="H743" s="32">
        <v>215618</v>
      </c>
      <c r="I743" s="15" t="s">
        <v>197</v>
      </c>
    </row>
    <row r="744" spans="1:9" x14ac:dyDescent="0.2">
      <c r="A744" t="s">
        <v>90</v>
      </c>
      <c r="B744" t="s">
        <v>150</v>
      </c>
      <c r="C744" t="s">
        <v>156</v>
      </c>
      <c r="D744" s="32">
        <v>4455.2999999999984</v>
      </c>
      <c r="E744" s="32">
        <v>5738</v>
      </c>
      <c r="F744" s="32">
        <v>2236138</v>
      </c>
      <c r="G744" s="32">
        <v>0</v>
      </c>
      <c r="H744" s="32">
        <v>3331504</v>
      </c>
      <c r="I744" s="15" t="s">
        <v>197</v>
      </c>
    </row>
    <row r="745" spans="1:9" x14ac:dyDescent="0.2">
      <c r="A745" t="s">
        <v>15</v>
      </c>
      <c r="B745" t="s">
        <v>150</v>
      </c>
      <c r="C745" t="s">
        <v>156</v>
      </c>
      <c r="D745" s="32">
        <v>307</v>
      </c>
      <c r="E745" s="32">
        <v>0</v>
      </c>
      <c r="F745" s="32">
        <v>0</v>
      </c>
      <c r="G745" s="32">
        <v>0</v>
      </c>
      <c r="H745" s="32">
        <v>216343</v>
      </c>
      <c r="I745" s="15" t="s">
        <v>197</v>
      </c>
    </row>
    <row r="746" spans="1:9" x14ac:dyDescent="0.2">
      <c r="A746" t="s">
        <v>30</v>
      </c>
      <c r="B746" t="s">
        <v>150</v>
      </c>
      <c r="C746" t="s">
        <v>156</v>
      </c>
      <c r="D746" s="32">
        <v>1710.3499999999997</v>
      </c>
      <c r="E746" s="32">
        <v>0</v>
      </c>
      <c r="F746" s="32">
        <v>799930</v>
      </c>
      <c r="G746" s="32">
        <v>0</v>
      </c>
      <c r="H746" s="32">
        <v>1045657</v>
      </c>
      <c r="I746" s="15" t="s">
        <v>197</v>
      </c>
    </row>
    <row r="747" spans="1:9" x14ac:dyDescent="0.2">
      <c r="A747" t="s">
        <v>73</v>
      </c>
      <c r="B747" t="s">
        <v>150</v>
      </c>
      <c r="C747" t="s">
        <v>156</v>
      </c>
      <c r="D747" s="32">
        <v>305.05</v>
      </c>
      <c r="E747" s="32">
        <v>0</v>
      </c>
      <c r="F747" s="32">
        <v>170300</v>
      </c>
      <c r="G747" s="32">
        <v>0</v>
      </c>
      <c r="H747" s="32">
        <v>224828</v>
      </c>
      <c r="I747" s="15" t="s">
        <v>197</v>
      </c>
    </row>
    <row r="748" spans="1:9" x14ac:dyDescent="0.2">
      <c r="A748" t="s">
        <v>81</v>
      </c>
      <c r="B748" t="s">
        <v>153</v>
      </c>
      <c r="C748" t="s">
        <v>156</v>
      </c>
      <c r="D748" s="32">
        <v>247</v>
      </c>
      <c r="E748" s="32">
        <v>0</v>
      </c>
      <c r="F748" s="32">
        <v>222500</v>
      </c>
      <c r="G748" s="32">
        <v>0</v>
      </c>
      <c r="H748" s="32">
        <v>30979</v>
      </c>
      <c r="I748" s="15" t="s">
        <v>197</v>
      </c>
    </row>
    <row r="749" spans="1:9" x14ac:dyDescent="0.2">
      <c r="A749" t="s">
        <v>5</v>
      </c>
      <c r="B749" t="s">
        <v>149</v>
      </c>
      <c r="C749" t="s">
        <v>156</v>
      </c>
      <c r="D749" s="32">
        <v>87.266666666666623</v>
      </c>
      <c r="E749" s="32">
        <v>0</v>
      </c>
      <c r="F749" s="32">
        <v>84188</v>
      </c>
      <c r="G749" s="32">
        <v>0</v>
      </c>
      <c r="H749" s="32">
        <v>87686</v>
      </c>
      <c r="I749" s="15" t="s">
        <v>197</v>
      </c>
    </row>
    <row r="750" spans="1:9" x14ac:dyDescent="0.2">
      <c r="A750" t="s">
        <v>50</v>
      </c>
      <c r="B750" t="s">
        <v>149</v>
      </c>
      <c r="C750" t="s">
        <v>156</v>
      </c>
      <c r="D750" s="32">
        <v>3829.8666666666677</v>
      </c>
      <c r="E750" s="32">
        <v>0</v>
      </c>
      <c r="F750" s="32">
        <v>0</v>
      </c>
      <c r="G750" s="32">
        <v>0</v>
      </c>
      <c r="H750" s="32">
        <v>2892083</v>
      </c>
      <c r="I750" s="15" t="s">
        <v>197</v>
      </c>
    </row>
    <row r="751" spans="1:9" x14ac:dyDescent="0.2">
      <c r="A751" t="s">
        <v>37</v>
      </c>
      <c r="B751" t="s">
        <v>151</v>
      </c>
      <c r="C751" t="s">
        <v>156</v>
      </c>
      <c r="D751" s="32">
        <v>848.86666666666554</v>
      </c>
      <c r="E751" s="32">
        <v>0</v>
      </c>
      <c r="F751" s="32">
        <v>500054</v>
      </c>
      <c r="G751" s="32">
        <v>0</v>
      </c>
      <c r="H751" s="32">
        <v>741384</v>
      </c>
      <c r="I751" s="15" t="s">
        <v>197</v>
      </c>
    </row>
    <row r="752" spans="1:9" x14ac:dyDescent="0.2">
      <c r="A752" t="s">
        <v>41</v>
      </c>
      <c r="B752" t="s">
        <v>153</v>
      </c>
      <c r="C752" t="s">
        <v>156</v>
      </c>
      <c r="D752" s="32">
        <v>80.266666666666666</v>
      </c>
      <c r="E752" s="32">
        <v>0</v>
      </c>
      <c r="F752" s="32">
        <v>38880</v>
      </c>
      <c r="G752" s="32">
        <v>0</v>
      </c>
      <c r="H752" s="32">
        <v>65848</v>
      </c>
      <c r="I752" s="15" t="s">
        <v>197</v>
      </c>
    </row>
    <row r="753" spans="1:9" x14ac:dyDescent="0.2">
      <c r="A753" s="32" t="s">
        <v>108</v>
      </c>
      <c r="B753" s="32" t="s">
        <v>149</v>
      </c>
      <c r="C753" s="15" t="s">
        <v>155</v>
      </c>
      <c r="D753" s="32">
        <v>323.18333333333334</v>
      </c>
      <c r="E753" s="32">
        <v>426</v>
      </c>
      <c r="F753" s="32">
        <v>76783.600000000006</v>
      </c>
      <c r="G753" s="32">
        <v>555.4</v>
      </c>
      <c r="H753" s="32">
        <v>131907</v>
      </c>
      <c r="I753" s="15" t="s">
        <v>199</v>
      </c>
    </row>
    <row r="754" spans="1:9" x14ac:dyDescent="0.2">
      <c r="A754" s="32" t="s">
        <v>4</v>
      </c>
      <c r="B754" s="32" t="s">
        <v>149</v>
      </c>
      <c r="C754" s="15" t="s">
        <v>155</v>
      </c>
      <c r="D754" s="32">
        <v>2892.666666666667</v>
      </c>
      <c r="E754" s="32">
        <v>0</v>
      </c>
      <c r="F754" s="32">
        <v>354383</v>
      </c>
      <c r="G754" s="32">
        <v>0</v>
      </c>
      <c r="H754" s="32">
        <v>2791784</v>
      </c>
      <c r="I754" s="15" t="s">
        <v>199</v>
      </c>
    </row>
    <row r="755" spans="1:9" x14ac:dyDescent="0.2">
      <c r="A755" s="32" t="s">
        <v>2</v>
      </c>
      <c r="B755" s="32" t="s">
        <v>149</v>
      </c>
      <c r="C755" s="15" t="s">
        <v>155</v>
      </c>
      <c r="D755" s="32">
        <v>9040.1333333333459</v>
      </c>
      <c r="E755" s="32">
        <v>3322</v>
      </c>
      <c r="F755" s="32">
        <v>4103541</v>
      </c>
      <c r="G755" s="32">
        <v>0</v>
      </c>
      <c r="H755" s="32">
        <v>4565361</v>
      </c>
      <c r="I755" s="15" t="s">
        <v>199</v>
      </c>
    </row>
    <row r="756" spans="1:9" x14ac:dyDescent="0.2">
      <c r="A756" s="32" t="s">
        <v>1</v>
      </c>
      <c r="B756" s="32" t="s">
        <v>149</v>
      </c>
      <c r="C756" s="15" t="s">
        <v>155</v>
      </c>
      <c r="D756" s="32">
        <v>15500.166666666666</v>
      </c>
      <c r="E756" s="32">
        <v>1299</v>
      </c>
      <c r="F756" s="32">
        <v>5615046</v>
      </c>
      <c r="G756" s="32">
        <v>1299</v>
      </c>
      <c r="H756" s="32">
        <v>6896626</v>
      </c>
      <c r="I756" s="15" t="s">
        <v>199</v>
      </c>
    </row>
    <row r="757" spans="1:9" x14ac:dyDescent="0.2">
      <c r="A757" s="32" t="s">
        <v>57</v>
      </c>
      <c r="B757" s="32" t="s">
        <v>149</v>
      </c>
      <c r="C757" s="15" t="s">
        <v>155</v>
      </c>
      <c r="D757" s="32">
        <v>82.233333333333348</v>
      </c>
      <c r="E757" s="32">
        <v>0</v>
      </c>
      <c r="F757" s="32">
        <v>0</v>
      </c>
      <c r="G757" s="32">
        <v>0</v>
      </c>
      <c r="H757" s="32">
        <v>30030</v>
      </c>
      <c r="I757" s="15" t="s">
        <v>199</v>
      </c>
    </row>
    <row r="758" spans="1:9" x14ac:dyDescent="0.2">
      <c r="A758" s="32" t="s">
        <v>28</v>
      </c>
      <c r="B758" s="32" t="s">
        <v>149</v>
      </c>
      <c r="C758" s="15" t="s">
        <v>155</v>
      </c>
      <c r="D758" s="32">
        <v>737.24999999999955</v>
      </c>
      <c r="E758" s="32">
        <v>0</v>
      </c>
      <c r="F758" s="32">
        <v>0</v>
      </c>
      <c r="G758" s="32">
        <v>0</v>
      </c>
      <c r="H758" s="32">
        <v>322799</v>
      </c>
      <c r="I758" s="15" t="s">
        <v>199</v>
      </c>
    </row>
    <row r="759" spans="1:9" x14ac:dyDescent="0.2">
      <c r="A759" s="32" t="s">
        <v>3</v>
      </c>
      <c r="B759" s="32" t="s">
        <v>149</v>
      </c>
      <c r="C759" s="15" t="s">
        <v>155</v>
      </c>
      <c r="D759" s="32">
        <v>9380.4666666666762</v>
      </c>
      <c r="E759" s="32">
        <v>0</v>
      </c>
      <c r="F759" s="32">
        <v>6620786.5999999959</v>
      </c>
      <c r="G759" s="32">
        <v>0</v>
      </c>
      <c r="H759" s="32">
        <v>6155482</v>
      </c>
      <c r="I759" s="15" t="s">
        <v>199</v>
      </c>
    </row>
    <row r="760" spans="1:9" x14ac:dyDescent="0.2">
      <c r="A760" s="32" t="s">
        <v>6</v>
      </c>
      <c r="B760" s="32" t="s">
        <v>149</v>
      </c>
      <c r="C760" s="15" t="s">
        <v>155</v>
      </c>
      <c r="D760" s="32">
        <v>1481.4999999999998</v>
      </c>
      <c r="E760" s="32">
        <v>0</v>
      </c>
      <c r="F760" s="32">
        <v>0</v>
      </c>
      <c r="G760" s="32">
        <v>0</v>
      </c>
      <c r="H760" s="32">
        <v>847578</v>
      </c>
      <c r="I760" s="15" t="s">
        <v>199</v>
      </c>
    </row>
    <row r="761" spans="1:9" x14ac:dyDescent="0.2">
      <c r="A761" s="32" t="s">
        <v>29</v>
      </c>
      <c r="B761" s="32" t="s">
        <v>149</v>
      </c>
      <c r="C761" s="15" t="s">
        <v>155</v>
      </c>
      <c r="D761" s="32">
        <v>39.85</v>
      </c>
      <c r="E761" s="32">
        <v>0</v>
      </c>
      <c r="F761" s="32">
        <v>0</v>
      </c>
      <c r="G761" s="32">
        <v>0</v>
      </c>
      <c r="H761" s="32">
        <v>13340</v>
      </c>
      <c r="I761" s="15" t="s">
        <v>199</v>
      </c>
    </row>
    <row r="762" spans="1:9" x14ac:dyDescent="0.2">
      <c r="A762" s="32" t="s">
        <v>170</v>
      </c>
      <c r="B762" s="32" t="s">
        <v>149</v>
      </c>
      <c r="C762" s="15" t="s">
        <v>155</v>
      </c>
      <c r="D762" s="32">
        <v>1099.9833333333333</v>
      </c>
      <c r="E762" s="32">
        <v>0</v>
      </c>
      <c r="F762" s="32">
        <v>288078</v>
      </c>
      <c r="G762" s="32">
        <v>0</v>
      </c>
      <c r="H762" s="32">
        <v>459519</v>
      </c>
      <c r="I762" s="15" t="s">
        <v>199</v>
      </c>
    </row>
    <row r="763" spans="1:9" x14ac:dyDescent="0.2">
      <c r="A763" s="32" t="s">
        <v>5</v>
      </c>
      <c r="B763" s="32" t="s">
        <v>149</v>
      </c>
      <c r="C763" s="15" t="s">
        <v>155</v>
      </c>
      <c r="D763" s="32">
        <v>1145.3166666666657</v>
      </c>
      <c r="E763" s="32">
        <v>0</v>
      </c>
      <c r="F763" s="32">
        <v>2736867</v>
      </c>
      <c r="G763" s="32">
        <v>0</v>
      </c>
      <c r="H763" s="32">
        <v>2589324</v>
      </c>
      <c r="I763" s="15" t="s">
        <v>199</v>
      </c>
    </row>
    <row r="764" spans="1:9" x14ac:dyDescent="0.2">
      <c r="A764" s="32" t="s">
        <v>50</v>
      </c>
      <c r="B764" s="32" t="s">
        <v>149</v>
      </c>
      <c r="C764" s="15" t="s">
        <v>155</v>
      </c>
      <c r="D764" s="32">
        <v>11041.066666666657</v>
      </c>
      <c r="E764" s="32">
        <v>0</v>
      </c>
      <c r="F764" s="32">
        <v>0</v>
      </c>
      <c r="G764" s="32">
        <v>0</v>
      </c>
      <c r="H764" s="32">
        <v>7923866</v>
      </c>
      <c r="I764" s="15" t="s">
        <v>199</v>
      </c>
    </row>
    <row r="765" spans="1:9" x14ac:dyDescent="0.2">
      <c r="A765" t="s">
        <v>61</v>
      </c>
      <c r="B765" t="s">
        <v>150</v>
      </c>
      <c r="C765" t="s">
        <v>156</v>
      </c>
      <c r="D765" s="32">
        <v>144.94999999999999</v>
      </c>
      <c r="E765" s="32">
        <v>0</v>
      </c>
      <c r="F765" s="32">
        <v>0</v>
      </c>
      <c r="G765" s="32">
        <v>0</v>
      </c>
      <c r="H765" s="32">
        <v>215027</v>
      </c>
      <c r="I765" s="15" t="s">
        <v>199</v>
      </c>
    </row>
    <row r="766" spans="1:9" x14ac:dyDescent="0.2">
      <c r="A766" t="s">
        <v>147</v>
      </c>
      <c r="B766" t="s">
        <v>152</v>
      </c>
      <c r="C766" t="s">
        <v>156</v>
      </c>
      <c r="D766" s="32">
        <v>319.33333333333326</v>
      </c>
      <c r="E766" s="32">
        <v>0</v>
      </c>
      <c r="F766" s="32">
        <v>122325</v>
      </c>
      <c r="G766" s="32">
        <v>0</v>
      </c>
      <c r="H766" s="32">
        <v>261060</v>
      </c>
      <c r="I766" s="15" t="s">
        <v>199</v>
      </c>
    </row>
    <row r="767" spans="1:9" x14ac:dyDescent="0.2">
      <c r="A767" t="s">
        <v>4</v>
      </c>
      <c r="B767" t="s">
        <v>149</v>
      </c>
      <c r="C767" t="s">
        <v>156</v>
      </c>
      <c r="D767" s="32">
        <v>70</v>
      </c>
      <c r="E767" s="32">
        <v>0</v>
      </c>
      <c r="F767" s="32">
        <v>8119</v>
      </c>
      <c r="G767" s="32">
        <v>0</v>
      </c>
      <c r="H767" s="32">
        <v>31542</v>
      </c>
      <c r="I767" s="15" t="s">
        <v>199</v>
      </c>
    </row>
    <row r="768" spans="1:9" x14ac:dyDescent="0.2">
      <c r="A768" t="s">
        <v>2</v>
      </c>
      <c r="B768" t="s">
        <v>149</v>
      </c>
      <c r="C768" t="s">
        <v>156</v>
      </c>
      <c r="D768" s="32">
        <v>15682.550000000005</v>
      </c>
      <c r="E768" s="32">
        <v>32102</v>
      </c>
      <c r="F768" s="32">
        <v>6263816</v>
      </c>
      <c r="G768" s="32">
        <v>0</v>
      </c>
      <c r="H768" s="32">
        <v>10858943</v>
      </c>
      <c r="I768" s="15" t="s">
        <v>199</v>
      </c>
    </row>
    <row r="769" spans="1:9" x14ac:dyDescent="0.2">
      <c r="A769" t="s">
        <v>1</v>
      </c>
      <c r="B769" t="s">
        <v>149</v>
      </c>
      <c r="C769" t="s">
        <v>156</v>
      </c>
      <c r="D769" s="32">
        <v>2836.9166666666674</v>
      </c>
      <c r="E769" s="32">
        <v>0</v>
      </c>
      <c r="F769" s="32">
        <v>1070119</v>
      </c>
      <c r="G769" s="32">
        <v>0</v>
      </c>
      <c r="H769" s="32">
        <v>1528302</v>
      </c>
      <c r="I769" s="15" t="s">
        <v>199</v>
      </c>
    </row>
    <row r="770" spans="1:9" x14ac:dyDescent="0.2">
      <c r="A770" t="s">
        <v>76</v>
      </c>
      <c r="B770" t="s">
        <v>152</v>
      </c>
      <c r="C770" t="s">
        <v>156</v>
      </c>
      <c r="D770" s="32">
        <v>459.83333333333405</v>
      </c>
      <c r="E770" s="32">
        <v>0</v>
      </c>
      <c r="F770" s="32">
        <v>156604</v>
      </c>
      <c r="G770" s="32">
        <v>270</v>
      </c>
      <c r="H770" s="32">
        <v>336660</v>
      </c>
      <c r="I770" s="15" t="s">
        <v>199</v>
      </c>
    </row>
    <row r="771" spans="1:9" x14ac:dyDescent="0.2">
      <c r="A771" t="s">
        <v>57</v>
      </c>
      <c r="B771" t="s">
        <v>149</v>
      </c>
      <c r="C771" t="s">
        <v>156</v>
      </c>
      <c r="D771" s="32">
        <v>483.71666666666664</v>
      </c>
      <c r="E771" s="32">
        <v>0</v>
      </c>
      <c r="F771" s="32">
        <v>0</v>
      </c>
      <c r="G771" s="32">
        <v>0</v>
      </c>
      <c r="H771" s="32">
        <v>330542</v>
      </c>
      <c r="I771" s="15" t="s">
        <v>199</v>
      </c>
    </row>
    <row r="772" spans="1:9" x14ac:dyDescent="0.2">
      <c r="A772" t="s">
        <v>67</v>
      </c>
      <c r="B772" t="s">
        <v>153</v>
      </c>
      <c r="C772" t="s">
        <v>156</v>
      </c>
      <c r="D772" s="32">
        <v>175.5</v>
      </c>
      <c r="E772" s="32">
        <v>0</v>
      </c>
      <c r="F772" s="32">
        <v>90535</v>
      </c>
      <c r="G772" s="32">
        <v>0</v>
      </c>
      <c r="H772" s="32">
        <v>152226</v>
      </c>
      <c r="I772" s="15" t="s">
        <v>199</v>
      </c>
    </row>
    <row r="773" spans="1:9" x14ac:dyDescent="0.2">
      <c r="A773" t="s">
        <v>12</v>
      </c>
      <c r="B773" t="s">
        <v>151</v>
      </c>
      <c r="C773" t="s">
        <v>156</v>
      </c>
      <c r="D773" s="32">
        <v>1192.9333333333345</v>
      </c>
      <c r="E773" s="32">
        <v>21695</v>
      </c>
      <c r="F773" s="32">
        <v>750215</v>
      </c>
      <c r="G773" s="32">
        <v>0</v>
      </c>
      <c r="H773" s="32">
        <v>835182</v>
      </c>
      <c r="I773" s="15" t="s">
        <v>199</v>
      </c>
    </row>
    <row r="774" spans="1:9" x14ac:dyDescent="0.2">
      <c r="A774" t="s">
        <v>39</v>
      </c>
      <c r="B774" t="s">
        <v>153</v>
      </c>
      <c r="C774" t="s">
        <v>156</v>
      </c>
      <c r="D774" s="32">
        <v>273.60000000000002</v>
      </c>
      <c r="E774" s="32">
        <v>0</v>
      </c>
      <c r="F774" s="32">
        <v>185390</v>
      </c>
      <c r="G774" s="32">
        <v>0</v>
      </c>
      <c r="H774" s="32">
        <v>239190</v>
      </c>
      <c r="I774" s="15" t="s">
        <v>199</v>
      </c>
    </row>
    <row r="775" spans="1:9" x14ac:dyDescent="0.2">
      <c r="A775" t="s">
        <v>65</v>
      </c>
      <c r="B775" t="s">
        <v>153</v>
      </c>
      <c r="C775" t="s">
        <v>156</v>
      </c>
      <c r="D775" s="32">
        <v>891</v>
      </c>
      <c r="E775" s="32">
        <v>22564</v>
      </c>
      <c r="F775" s="32">
        <v>436948</v>
      </c>
      <c r="G775" s="32">
        <v>0</v>
      </c>
      <c r="H775" s="32">
        <v>809947</v>
      </c>
      <c r="I775" s="15" t="s">
        <v>199</v>
      </c>
    </row>
    <row r="776" spans="1:9" x14ac:dyDescent="0.2">
      <c r="A776" t="s">
        <v>68</v>
      </c>
      <c r="B776" t="s">
        <v>151</v>
      </c>
      <c r="C776" t="s">
        <v>156</v>
      </c>
      <c r="D776" s="32">
        <v>87.116666666666646</v>
      </c>
      <c r="E776" s="32">
        <v>0</v>
      </c>
      <c r="F776" s="32">
        <v>119818</v>
      </c>
      <c r="G776" s="32">
        <v>0</v>
      </c>
      <c r="H776" s="32">
        <v>77872</v>
      </c>
      <c r="I776" s="15" t="s">
        <v>199</v>
      </c>
    </row>
    <row r="777" spans="1:9" x14ac:dyDescent="0.2">
      <c r="A777" t="s">
        <v>10</v>
      </c>
      <c r="B777" t="s">
        <v>150</v>
      </c>
      <c r="C777" t="s">
        <v>156</v>
      </c>
      <c r="D777" s="32">
        <v>3692.266666666661</v>
      </c>
      <c r="E777" s="32">
        <v>2</v>
      </c>
      <c r="F777" s="32">
        <v>18535232</v>
      </c>
      <c r="G777" s="32">
        <v>0</v>
      </c>
      <c r="H777" s="32">
        <v>1521245</v>
      </c>
      <c r="I777" s="15" t="s">
        <v>199</v>
      </c>
    </row>
    <row r="778" spans="1:9" x14ac:dyDescent="0.2">
      <c r="A778" t="s">
        <v>8</v>
      </c>
      <c r="B778" t="s">
        <v>150</v>
      </c>
      <c r="C778" t="s">
        <v>156</v>
      </c>
      <c r="D778" s="32">
        <v>6204.6833333331924</v>
      </c>
      <c r="E778" s="32">
        <v>143701</v>
      </c>
      <c r="F778" s="32">
        <v>3468989</v>
      </c>
      <c r="G778" s="32">
        <v>0</v>
      </c>
      <c r="H778" s="32">
        <v>3718290</v>
      </c>
      <c r="I778" s="15" t="s">
        <v>199</v>
      </c>
    </row>
    <row r="779" spans="1:9" x14ac:dyDescent="0.2">
      <c r="A779" t="s">
        <v>17</v>
      </c>
      <c r="B779" t="s">
        <v>150</v>
      </c>
      <c r="C779" t="s">
        <v>156</v>
      </c>
      <c r="D779" s="32">
        <v>127.66666666666667</v>
      </c>
      <c r="E779" s="32">
        <v>0</v>
      </c>
      <c r="F779" s="32">
        <v>0</v>
      </c>
      <c r="G779" s="32">
        <v>0</v>
      </c>
      <c r="H779" s="32">
        <v>89624</v>
      </c>
      <c r="I779" s="15" t="s">
        <v>199</v>
      </c>
    </row>
    <row r="780" spans="1:9" x14ac:dyDescent="0.2">
      <c r="A780" t="s">
        <v>52</v>
      </c>
      <c r="B780" t="s">
        <v>150</v>
      </c>
      <c r="C780" t="s">
        <v>156</v>
      </c>
      <c r="D780" s="32">
        <v>126</v>
      </c>
      <c r="E780" s="32">
        <v>0</v>
      </c>
      <c r="F780" s="32">
        <v>0</v>
      </c>
      <c r="G780" s="32">
        <v>0</v>
      </c>
      <c r="H780" s="32">
        <v>77958</v>
      </c>
      <c r="I780" s="15" t="s">
        <v>199</v>
      </c>
    </row>
    <row r="781" spans="1:9" x14ac:dyDescent="0.2">
      <c r="A781" t="s">
        <v>34</v>
      </c>
      <c r="B781" t="s">
        <v>152</v>
      </c>
      <c r="C781" t="s">
        <v>156</v>
      </c>
      <c r="D781" s="32">
        <v>1188.7499999999991</v>
      </c>
      <c r="E781" s="32">
        <v>2202</v>
      </c>
      <c r="F781" s="32">
        <v>604595</v>
      </c>
      <c r="G781" s="32">
        <v>0</v>
      </c>
      <c r="H781" s="32">
        <v>875932</v>
      </c>
      <c r="I781" s="15" t="s">
        <v>199</v>
      </c>
    </row>
    <row r="782" spans="1:9" x14ac:dyDescent="0.2">
      <c r="A782" t="s">
        <v>56</v>
      </c>
      <c r="B782" t="s">
        <v>153</v>
      </c>
      <c r="C782" t="s">
        <v>156</v>
      </c>
      <c r="D782" s="32">
        <v>132.70000000000002</v>
      </c>
      <c r="E782" s="32">
        <v>0</v>
      </c>
      <c r="F782" s="32">
        <v>39774</v>
      </c>
      <c r="G782" s="32">
        <v>0</v>
      </c>
      <c r="H782" s="32">
        <v>109960</v>
      </c>
      <c r="I782" s="15" t="s">
        <v>199</v>
      </c>
    </row>
    <row r="783" spans="1:9" x14ac:dyDescent="0.2">
      <c r="A783" t="s">
        <v>20</v>
      </c>
      <c r="B783" t="s">
        <v>153</v>
      </c>
      <c r="C783" t="s">
        <v>156</v>
      </c>
      <c r="D783" s="32">
        <v>830</v>
      </c>
      <c r="E783" s="32">
        <v>12</v>
      </c>
      <c r="F783" s="32">
        <v>350626</v>
      </c>
      <c r="G783" s="32">
        <v>0</v>
      </c>
      <c r="H783" s="32">
        <v>715957</v>
      </c>
      <c r="I783" s="15" t="s">
        <v>199</v>
      </c>
    </row>
    <row r="784" spans="1:9" x14ac:dyDescent="0.2">
      <c r="A784" t="s">
        <v>18</v>
      </c>
      <c r="B784" t="s">
        <v>153</v>
      </c>
      <c r="C784" t="s">
        <v>156</v>
      </c>
      <c r="D784" s="32">
        <v>711.66666666666629</v>
      </c>
      <c r="E784" s="32">
        <v>0</v>
      </c>
      <c r="F784" s="32">
        <v>0</v>
      </c>
      <c r="G784" s="32">
        <v>0</v>
      </c>
      <c r="H784" s="32">
        <v>578610</v>
      </c>
      <c r="I784" s="15" t="s">
        <v>199</v>
      </c>
    </row>
    <row r="785" spans="1:9" x14ac:dyDescent="0.2">
      <c r="A785" t="s">
        <v>148</v>
      </c>
      <c r="B785" t="s">
        <v>154</v>
      </c>
      <c r="C785" t="s">
        <v>156</v>
      </c>
      <c r="D785" s="32">
        <v>3910.3833333333355</v>
      </c>
      <c r="E785" s="32">
        <v>0</v>
      </c>
      <c r="F785" s="32">
        <v>0</v>
      </c>
      <c r="G785" s="32">
        <v>0</v>
      </c>
      <c r="H785" s="32">
        <v>1285884</v>
      </c>
      <c r="I785" s="15" t="s">
        <v>199</v>
      </c>
    </row>
    <row r="786" spans="1:9" x14ac:dyDescent="0.2">
      <c r="A786" t="s">
        <v>7</v>
      </c>
      <c r="B786" t="s">
        <v>150</v>
      </c>
      <c r="C786" t="s">
        <v>156</v>
      </c>
      <c r="D786" s="32">
        <v>2836.7000000000021</v>
      </c>
      <c r="E786" s="32">
        <v>0</v>
      </c>
      <c r="F786" s="32">
        <v>0</v>
      </c>
      <c r="G786" s="32">
        <v>0</v>
      </c>
      <c r="H786" s="32">
        <v>1870941</v>
      </c>
      <c r="I786" s="15" t="s">
        <v>199</v>
      </c>
    </row>
    <row r="787" spans="1:9" x14ac:dyDescent="0.2">
      <c r="A787" t="s">
        <v>31</v>
      </c>
      <c r="B787" t="s">
        <v>152</v>
      </c>
      <c r="C787" t="s">
        <v>156</v>
      </c>
      <c r="D787" s="32">
        <v>3331.4000000000015</v>
      </c>
      <c r="E787" s="32">
        <v>83</v>
      </c>
      <c r="F787" s="32">
        <v>2051963</v>
      </c>
      <c r="G787" s="32">
        <v>5053</v>
      </c>
      <c r="H787" s="32">
        <v>2159006</v>
      </c>
      <c r="I787" s="15" t="s">
        <v>199</v>
      </c>
    </row>
    <row r="788" spans="1:9" x14ac:dyDescent="0.2">
      <c r="A788" t="s">
        <v>33</v>
      </c>
      <c r="B788" t="s">
        <v>152</v>
      </c>
      <c r="C788" t="s">
        <v>156</v>
      </c>
      <c r="D788" s="32">
        <v>196.33333333333331</v>
      </c>
      <c r="E788" s="32">
        <v>315</v>
      </c>
      <c r="F788" s="32">
        <v>219147</v>
      </c>
      <c r="G788" s="32">
        <v>39467</v>
      </c>
      <c r="H788" s="32">
        <v>127300</v>
      </c>
      <c r="I788" s="15" t="s">
        <v>199</v>
      </c>
    </row>
    <row r="789" spans="1:9" x14ac:dyDescent="0.2">
      <c r="A789" t="s">
        <v>9</v>
      </c>
      <c r="B789" t="s">
        <v>150</v>
      </c>
      <c r="C789" t="s">
        <v>156</v>
      </c>
      <c r="D789" s="32">
        <v>4088.0500000000006</v>
      </c>
      <c r="E789" s="32">
        <v>35722</v>
      </c>
      <c r="F789" s="32">
        <v>2386449</v>
      </c>
      <c r="G789" s="32">
        <v>0</v>
      </c>
      <c r="H789" s="32">
        <v>2698806</v>
      </c>
      <c r="I789" s="15" t="s">
        <v>199</v>
      </c>
    </row>
    <row r="790" spans="1:9" x14ac:dyDescent="0.2">
      <c r="A790" t="s">
        <v>63</v>
      </c>
      <c r="B790" t="s">
        <v>152</v>
      </c>
      <c r="C790" t="s">
        <v>156</v>
      </c>
      <c r="D790" s="32">
        <v>75.849999999999994</v>
      </c>
      <c r="E790" s="32">
        <v>0</v>
      </c>
      <c r="F790" s="32">
        <v>0</v>
      </c>
      <c r="G790" s="32">
        <v>0</v>
      </c>
      <c r="H790" s="32">
        <v>40128</v>
      </c>
      <c r="I790" s="15" t="s">
        <v>199</v>
      </c>
    </row>
    <row r="791" spans="1:9" x14ac:dyDescent="0.2">
      <c r="A791" t="s">
        <v>111</v>
      </c>
      <c r="B791" t="s">
        <v>154</v>
      </c>
      <c r="C791" t="s">
        <v>156</v>
      </c>
      <c r="D791" s="32">
        <v>763.35000000000048</v>
      </c>
      <c r="E791" s="32">
        <v>0</v>
      </c>
      <c r="F791" s="32">
        <v>0</v>
      </c>
      <c r="G791" s="32">
        <v>0</v>
      </c>
      <c r="H791" s="32">
        <v>600327</v>
      </c>
      <c r="I791" s="15" t="s">
        <v>199</v>
      </c>
    </row>
    <row r="792" spans="1:9" x14ac:dyDescent="0.2">
      <c r="A792" t="s">
        <v>172</v>
      </c>
      <c r="B792" t="s">
        <v>150</v>
      </c>
      <c r="C792" t="s">
        <v>156</v>
      </c>
      <c r="D792" s="32">
        <v>1100.8833333333314</v>
      </c>
      <c r="E792" s="32">
        <v>18</v>
      </c>
      <c r="F792" s="32">
        <v>244876</v>
      </c>
      <c r="G792" s="32">
        <v>0</v>
      </c>
      <c r="H792" s="32">
        <v>592420</v>
      </c>
      <c r="I792" s="15" t="s">
        <v>199</v>
      </c>
    </row>
    <row r="793" spans="1:9" x14ac:dyDescent="0.2">
      <c r="A793" t="s">
        <v>28</v>
      </c>
      <c r="B793" t="s">
        <v>149</v>
      </c>
      <c r="C793" t="s">
        <v>156</v>
      </c>
      <c r="D793" s="32">
        <v>74.166666666666671</v>
      </c>
      <c r="E793" s="32">
        <v>0</v>
      </c>
      <c r="F793" s="32">
        <v>0</v>
      </c>
      <c r="G793" s="32">
        <v>0</v>
      </c>
      <c r="H793" s="32">
        <v>39807</v>
      </c>
      <c r="I793" s="15" t="s">
        <v>199</v>
      </c>
    </row>
    <row r="794" spans="1:9" x14ac:dyDescent="0.2">
      <c r="A794" t="s">
        <v>106</v>
      </c>
      <c r="B794" t="s">
        <v>153</v>
      </c>
      <c r="C794" t="s">
        <v>156</v>
      </c>
      <c r="D794" s="32">
        <v>161.30000000000001</v>
      </c>
      <c r="E794" s="32">
        <v>0</v>
      </c>
      <c r="F794" s="32">
        <v>113314</v>
      </c>
      <c r="G794" s="32">
        <v>0</v>
      </c>
      <c r="H794" s="32">
        <v>143514</v>
      </c>
      <c r="I794" s="15" t="s">
        <v>199</v>
      </c>
    </row>
    <row r="795" spans="1:9" x14ac:dyDescent="0.2">
      <c r="A795" t="s">
        <v>14</v>
      </c>
      <c r="B795" t="s">
        <v>150</v>
      </c>
      <c r="C795" t="s">
        <v>156</v>
      </c>
      <c r="D795" s="32">
        <v>385</v>
      </c>
      <c r="E795" s="32">
        <v>0</v>
      </c>
      <c r="F795" s="32">
        <v>0</v>
      </c>
      <c r="G795" s="32">
        <v>0</v>
      </c>
      <c r="H795" s="32">
        <v>304404</v>
      </c>
      <c r="I795" s="15" t="s">
        <v>199</v>
      </c>
    </row>
    <row r="796" spans="1:9" x14ac:dyDescent="0.2">
      <c r="A796" t="s">
        <v>13</v>
      </c>
      <c r="B796" t="s">
        <v>150</v>
      </c>
      <c r="C796" t="s">
        <v>156</v>
      </c>
      <c r="D796" s="32">
        <v>684.65000000000111</v>
      </c>
      <c r="E796" s="32">
        <v>0</v>
      </c>
      <c r="F796" s="32">
        <v>609240</v>
      </c>
      <c r="G796" s="32">
        <v>0</v>
      </c>
      <c r="H796" s="32">
        <v>499996</v>
      </c>
      <c r="I796" s="15" t="s">
        <v>199</v>
      </c>
    </row>
    <row r="797" spans="1:9" x14ac:dyDescent="0.2">
      <c r="A797" t="s">
        <v>60</v>
      </c>
      <c r="B797" t="s">
        <v>150</v>
      </c>
      <c r="C797" t="s">
        <v>156</v>
      </c>
      <c r="D797" s="32">
        <v>113.60000000000002</v>
      </c>
      <c r="E797" s="32">
        <v>0</v>
      </c>
      <c r="F797" s="32">
        <v>47800</v>
      </c>
      <c r="G797" s="32">
        <v>0</v>
      </c>
      <c r="H797" s="32">
        <v>53472</v>
      </c>
      <c r="I797" s="15" t="s">
        <v>199</v>
      </c>
    </row>
    <row r="798" spans="1:9" x14ac:dyDescent="0.2">
      <c r="A798" t="s">
        <v>64</v>
      </c>
      <c r="B798" t="s">
        <v>153</v>
      </c>
      <c r="C798" t="s">
        <v>156</v>
      </c>
      <c r="D798" s="32">
        <v>1281</v>
      </c>
      <c r="E798" s="32">
        <v>11054</v>
      </c>
      <c r="F798" s="32">
        <v>638700</v>
      </c>
      <c r="G798" s="32">
        <v>6497</v>
      </c>
      <c r="H798" s="32">
        <v>1107760</v>
      </c>
      <c r="I798" s="15" t="s">
        <v>199</v>
      </c>
    </row>
    <row r="799" spans="1:9" x14ac:dyDescent="0.2">
      <c r="A799" t="s">
        <v>3</v>
      </c>
      <c r="B799" t="s">
        <v>149</v>
      </c>
      <c r="C799" t="s">
        <v>156</v>
      </c>
      <c r="D799" s="32">
        <v>3121.8000000000043</v>
      </c>
      <c r="E799" s="32">
        <v>0</v>
      </c>
      <c r="F799" s="32">
        <v>968354.39999999944</v>
      </c>
      <c r="G799" s="32">
        <v>0</v>
      </c>
      <c r="H799" s="32">
        <v>2286771</v>
      </c>
      <c r="I799" s="15" t="s">
        <v>199</v>
      </c>
    </row>
    <row r="800" spans="1:9" x14ac:dyDescent="0.2">
      <c r="A800" t="s">
        <v>58</v>
      </c>
      <c r="B800" t="s">
        <v>150</v>
      </c>
      <c r="C800" t="s">
        <v>156</v>
      </c>
      <c r="D800" s="32">
        <v>1053.2499999999995</v>
      </c>
      <c r="E800" s="32">
        <v>0</v>
      </c>
      <c r="F800" s="32">
        <v>0</v>
      </c>
      <c r="G800" s="32">
        <v>0</v>
      </c>
      <c r="H800" s="32">
        <v>766180</v>
      </c>
      <c r="I800" s="15" t="s">
        <v>199</v>
      </c>
    </row>
    <row r="801" spans="1:9" x14ac:dyDescent="0.2">
      <c r="A801" t="s">
        <v>35</v>
      </c>
      <c r="B801" t="s">
        <v>153</v>
      </c>
      <c r="C801" t="s">
        <v>156</v>
      </c>
      <c r="D801" s="32">
        <v>660</v>
      </c>
      <c r="E801" s="32">
        <v>48795</v>
      </c>
      <c r="F801" s="32">
        <v>293873</v>
      </c>
      <c r="G801" s="32">
        <v>0</v>
      </c>
      <c r="H801" s="32">
        <v>608520</v>
      </c>
      <c r="I801" s="15" t="s">
        <v>199</v>
      </c>
    </row>
    <row r="802" spans="1:9" x14ac:dyDescent="0.2">
      <c r="A802" t="s">
        <v>32</v>
      </c>
      <c r="B802" t="s">
        <v>152</v>
      </c>
      <c r="C802" t="s">
        <v>156</v>
      </c>
      <c r="D802" s="32">
        <v>124</v>
      </c>
      <c r="E802" s="32">
        <v>0</v>
      </c>
      <c r="F802" s="32">
        <v>91837</v>
      </c>
      <c r="G802" s="32">
        <v>0</v>
      </c>
      <c r="H802" s="32">
        <v>77810</v>
      </c>
      <c r="I802" s="15" t="s">
        <v>199</v>
      </c>
    </row>
    <row r="803" spans="1:9" x14ac:dyDescent="0.2">
      <c r="A803" t="s">
        <v>62</v>
      </c>
      <c r="B803" t="s">
        <v>152</v>
      </c>
      <c r="C803" t="s">
        <v>156</v>
      </c>
      <c r="D803" s="32">
        <v>426</v>
      </c>
      <c r="E803" s="32">
        <v>0</v>
      </c>
      <c r="F803" s="32">
        <v>263096</v>
      </c>
      <c r="G803" s="32">
        <v>91</v>
      </c>
      <c r="H803" s="32">
        <v>470136</v>
      </c>
      <c r="I803" s="15" t="s">
        <v>199</v>
      </c>
    </row>
    <row r="804" spans="1:9" x14ac:dyDescent="0.2">
      <c r="A804" t="s">
        <v>112</v>
      </c>
      <c r="B804" t="s">
        <v>152</v>
      </c>
      <c r="C804" t="s">
        <v>156</v>
      </c>
      <c r="D804" s="32">
        <v>186</v>
      </c>
      <c r="E804" s="32">
        <v>0</v>
      </c>
      <c r="F804" s="32">
        <v>121573</v>
      </c>
      <c r="G804" s="32">
        <v>0</v>
      </c>
      <c r="H804" s="32">
        <v>140864</v>
      </c>
      <c r="I804" s="15" t="s">
        <v>199</v>
      </c>
    </row>
    <row r="805" spans="1:9" x14ac:dyDescent="0.2">
      <c r="A805" t="s">
        <v>19</v>
      </c>
      <c r="B805" t="s">
        <v>152</v>
      </c>
      <c r="C805" t="s">
        <v>156</v>
      </c>
      <c r="D805" s="32">
        <v>825</v>
      </c>
      <c r="E805" s="32">
        <v>0</v>
      </c>
      <c r="F805" s="32">
        <v>460473</v>
      </c>
      <c r="G805" s="32">
        <v>94</v>
      </c>
      <c r="H805" s="32">
        <v>597514</v>
      </c>
      <c r="I805" s="15" t="s">
        <v>199</v>
      </c>
    </row>
    <row r="806" spans="1:9" x14ac:dyDescent="0.2">
      <c r="A806" t="s">
        <v>66</v>
      </c>
      <c r="B806" t="s">
        <v>153</v>
      </c>
      <c r="C806" t="s">
        <v>156</v>
      </c>
      <c r="D806" s="32">
        <v>1060</v>
      </c>
      <c r="E806" s="32">
        <v>14686</v>
      </c>
      <c r="F806" s="32">
        <v>575856</v>
      </c>
      <c r="G806" s="32">
        <v>0</v>
      </c>
      <c r="H806" s="32">
        <v>1026870</v>
      </c>
      <c r="I806" s="15" t="s">
        <v>199</v>
      </c>
    </row>
    <row r="807" spans="1:9" x14ac:dyDescent="0.2">
      <c r="A807" t="s">
        <v>99</v>
      </c>
      <c r="B807" t="s">
        <v>153</v>
      </c>
      <c r="C807" t="s">
        <v>156</v>
      </c>
      <c r="D807" s="32">
        <v>475</v>
      </c>
      <c r="E807" s="32">
        <v>0</v>
      </c>
      <c r="F807" s="32">
        <v>0</v>
      </c>
      <c r="G807" s="32">
        <v>0</v>
      </c>
      <c r="H807" s="32">
        <v>363470</v>
      </c>
      <c r="I807" s="15" t="s">
        <v>199</v>
      </c>
    </row>
    <row r="808" spans="1:9" x14ac:dyDescent="0.2">
      <c r="A808" t="s">
        <v>188</v>
      </c>
      <c r="B808" t="s">
        <v>153</v>
      </c>
      <c r="C808" t="s">
        <v>156</v>
      </c>
      <c r="D808" s="32">
        <v>56</v>
      </c>
      <c r="E808" s="32">
        <v>0</v>
      </c>
      <c r="F808" s="32">
        <v>0</v>
      </c>
      <c r="G808" s="32">
        <v>0</v>
      </c>
      <c r="H808" s="32">
        <v>33362</v>
      </c>
      <c r="I808" s="15" t="s">
        <v>199</v>
      </c>
    </row>
    <row r="809" spans="1:9" x14ac:dyDescent="0.2">
      <c r="A809" t="s">
        <v>29</v>
      </c>
      <c r="B809" t="s">
        <v>149</v>
      </c>
      <c r="C809" t="s">
        <v>156</v>
      </c>
      <c r="D809" s="32">
        <v>397.08333333333331</v>
      </c>
      <c r="E809" s="32">
        <v>0</v>
      </c>
      <c r="F809" s="32">
        <v>0</v>
      </c>
      <c r="G809" s="32">
        <v>0</v>
      </c>
      <c r="H809" s="32">
        <v>265393</v>
      </c>
      <c r="I809" s="15" t="s">
        <v>199</v>
      </c>
    </row>
    <row r="810" spans="1:9" x14ac:dyDescent="0.2">
      <c r="A810" t="s">
        <v>59</v>
      </c>
      <c r="B810" t="s">
        <v>150</v>
      </c>
      <c r="C810" t="s">
        <v>156</v>
      </c>
      <c r="D810" s="32">
        <v>1409.4999999999955</v>
      </c>
      <c r="E810" s="32">
        <v>0</v>
      </c>
      <c r="F810" s="32">
        <v>491839</v>
      </c>
      <c r="G810" s="32">
        <v>0</v>
      </c>
      <c r="H810" s="32">
        <v>761064</v>
      </c>
      <c r="I810" s="15" t="s">
        <v>199</v>
      </c>
    </row>
    <row r="811" spans="1:9" x14ac:dyDescent="0.2">
      <c r="A811" t="s">
        <v>38</v>
      </c>
      <c r="B811" t="s">
        <v>150</v>
      </c>
      <c r="C811" t="s">
        <v>156</v>
      </c>
      <c r="D811" s="32">
        <v>244.5</v>
      </c>
      <c r="E811" s="32">
        <v>0</v>
      </c>
      <c r="F811" s="32">
        <v>138375</v>
      </c>
      <c r="G811" s="32">
        <v>0</v>
      </c>
      <c r="H811" s="32">
        <v>165784</v>
      </c>
      <c r="I811" s="15" t="s">
        <v>199</v>
      </c>
    </row>
    <row r="812" spans="1:9" x14ac:dyDescent="0.2">
      <c r="A812" t="s">
        <v>48</v>
      </c>
      <c r="B812" t="s">
        <v>153</v>
      </c>
      <c r="C812" t="s">
        <v>156</v>
      </c>
      <c r="D812" s="32">
        <v>135.98333333333332</v>
      </c>
      <c r="E812" s="32">
        <v>0</v>
      </c>
      <c r="F812" s="32">
        <v>53980</v>
      </c>
      <c r="G812" s="32">
        <v>0</v>
      </c>
      <c r="H812" s="32">
        <v>105420</v>
      </c>
      <c r="I812" s="15" t="s">
        <v>199</v>
      </c>
    </row>
    <row r="813" spans="1:9" x14ac:dyDescent="0.2">
      <c r="A813" t="s">
        <v>110</v>
      </c>
      <c r="B813" t="s">
        <v>154</v>
      </c>
      <c r="C813" t="s">
        <v>156</v>
      </c>
      <c r="D813" s="32">
        <v>574.58333333333348</v>
      </c>
      <c r="E813" s="32">
        <v>0</v>
      </c>
      <c r="F813" s="32">
        <v>0</v>
      </c>
      <c r="G813" s="32">
        <v>0</v>
      </c>
      <c r="H813" s="32">
        <v>494760</v>
      </c>
      <c r="I813" s="15" t="s">
        <v>199</v>
      </c>
    </row>
    <row r="814" spans="1:9" x14ac:dyDescent="0.2">
      <c r="A814" t="s">
        <v>88</v>
      </c>
      <c r="B814" t="s">
        <v>150</v>
      </c>
      <c r="C814" t="s">
        <v>156</v>
      </c>
      <c r="D814" s="32">
        <v>2002.6666666666649</v>
      </c>
      <c r="E814" s="32">
        <v>0</v>
      </c>
      <c r="F814" s="32">
        <v>0</v>
      </c>
      <c r="G814" s="32">
        <v>0</v>
      </c>
      <c r="H814" s="32">
        <v>1431087</v>
      </c>
      <c r="I814" s="15" t="s">
        <v>199</v>
      </c>
    </row>
    <row r="815" spans="1:9" x14ac:dyDescent="0.2">
      <c r="A815" t="s">
        <v>109</v>
      </c>
      <c r="B815" t="s">
        <v>150</v>
      </c>
      <c r="C815" t="s">
        <v>156</v>
      </c>
      <c r="D815" s="32">
        <v>2061.65</v>
      </c>
      <c r="E815" s="32">
        <v>0</v>
      </c>
      <c r="F815" s="32">
        <v>1279050</v>
      </c>
      <c r="G815" s="32">
        <v>0</v>
      </c>
      <c r="H815" s="32">
        <v>1327444</v>
      </c>
      <c r="I815" s="15" t="s">
        <v>199</v>
      </c>
    </row>
    <row r="816" spans="1:9" x14ac:dyDescent="0.2">
      <c r="A816" t="s">
        <v>16</v>
      </c>
      <c r="B816" t="s">
        <v>150</v>
      </c>
      <c r="C816" t="s">
        <v>156</v>
      </c>
      <c r="D816" s="32">
        <v>222.79999999999998</v>
      </c>
      <c r="E816" s="32">
        <v>0</v>
      </c>
      <c r="F816" s="32">
        <v>176193.27648</v>
      </c>
      <c r="G816" s="32">
        <v>0</v>
      </c>
      <c r="H816" s="32">
        <v>129214</v>
      </c>
      <c r="I816" s="15" t="s">
        <v>199</v>
      </c>
    </row>
    <row r="817" spans="1:9" x14ac:dyDescent="0.2">
      <c r="A817" t="s">
        <v>69</v>
      </c>
      <c r="B817" t="s">
        <v>151</v>
      </c>
      <c r="C817" t="s">
        <v>156</v>
      </c>
      <c r="D817" s="32">
        <v>644.25000000000057</v>
      </c>
      <c r="E817" s="32">
        <v>0</v>
      </c>
      <c r="F817" s="32">
        <v>494750</v>
      </c>
      <c r="G817" s="32">
        <v>0</v>
      </c>
      <c r="H817" s="32">
        <v>549885</v>
      </c>
      <c r="I817" s="15" t="s">
        <v>199</v>
      </c>
    </row>
    <row r="818" spans="1:9" x14ac:dyDescent="0.2">
      <c r="A818" t="s">
        <v>36</v>
      </c>
      <c r="B818" t="s">
        <v>152</v>
      </c>
      <c r="C818" t="s">
        <v>156</v>
      </c>
      <c r="D818" s="32">
        <v>248</v>
      </c>
      <c r="E818" s="32">
        <v>9334</v>
      </c>
      <c r="F818" s="32">
        <v>135128</v>
      </c>
      <c r="G818" s="32">
        <v>0</v>
      </c>
      <c r="H818" s="32">
        <v>155992</v>
      </c>
      <c r="I818" s="15" t="s">
        <v>199</v>
      </c>
    </row>
    <row r="819" spans="1:9" x14ac:dyDescent="0.2">
      <c r="A819" t="s">
        <v>51</v>
      </c>
      <c r="B819" t="s">
        <v>152</v>
      </c>
      <c r="C819" t="s">
        <v>156</v>
      </c>
      <c r="D819" s="32">
        <v>414</v>
      </c>
      <c r="E819" s="32">
        <v>1702</v>
      </c>
      <c r="F819" s="32">
        <v>157013</v>
      </c>
      <c r="G819" s="32">
        <v>0</v>
      </c>
      <c r="H819" s="32">
        <v>361356</v>
      </c>
      <c r="I819" s="15" t="s">
        <v>199</v>
      </c>
    </row>
    <row r="820" spans="1:9" x14ac:dyDescent="0.2">
      <c r="A820" t="s">
        <v>79</v>
      </c>
      <c r="B820" t="s">
        <v>152</v>
      </c>
      <c r="C820" t="s">
        <v>156</v>
      </c>
      <c r="D820" s="32">
        <v>836</v>
      </c>
      <c r="E820" s="32">
        <v>0</v>
      </c>
      <c r="F820" s="32">
        <v>281852</v>
      </c>
      <c r="G820" s="32">
        <v>13</v>
      </c>
      <c r="H820" s="32">
        <v>631514</v>
      </c>
      <c r="I820" s="15" t="s">
        <v>199</v>
      </c>
    </row>
    <row r="821" spans="1:9" x14ac:dyDescent="0.2">
      <c r="A821" t="s">
        <v>40</v>
      </c>
      <c r="B821" t="s">
        <v>152</v>
      </c>
      <c r="C821" t="s">
        <v>156</v>
      </c>
      <c r="D821" s="32">
        <v>60</v>
      </c>
      <c r="E821" s="32">
        <v>0</v>
      </c>
      <c r="F821" s="32">
        <v>0</v>
      </c>
      <c r="G821" s="32">
        <v>0</v>
      </c>
      <c r="H821" s="32">
        <v>37896</v>
      </c>
      <c r="I821" s="15" t="s">
        <v>199</v>
      </c>
    </row>
    <row r="822" spans="1:9" x14ac:dyDescent="0.2">
      <c r="A822" t="s">
        <v>44</v>
      </c>
      <c r="B822" t="s">
        <v>153</v>
      </c>
      <c r="C822" t="s">
        <v>156</v>
      </c>
      <c r="D822" s="32">
        <v>546.75</v>
      </c>
      <c r="E822" s="32">
        <v>0</v>
      </c>
      <c r="F822" s="32">
        <v>196905</v>
      </c>
      <c r="G822" s="32">
        <v>0</v>
      </c>
      <c r="H822" s="32">
        <v>423014</v>
      </c>
      <c r="I822" s="15" t="s">
        <v>199</v>
      </c>
    </row>
    <row r="823" spans="1:9" x14ac:dyDescent="0.2">
      <c r="A823" t="s">
        <v>89</v>
      </c>
      <c r="B823" t="s">
        <v>152</v>
      </c>
      <c r="C823" t="s">
        <v>156</v>
      </c>
      <c r="D823" s="32">
        <v>82.166666666666671</v>
      </c>
      <c r="E823" s="32">
        <v>0</v>
      </c>
      <c r="F823" s="32">
        <v>6869</v>
      </c>
      <c r="G823" s="32">
        <v>0</v>
      </c>
      <c r="H823" s="32">
        <v>37894</v>
      </c>
      <c r="I823" s="15" t="s">
        <v>199</v>
      </c>
    </row>
    <row r="824" spans="1:9" x14ac:dyDescent="0.2">
      <c r="A824" t="s">
        <v>22</v>
      </c>
      <c r="B824" t="s">
        <v>153</v>
      </c>
      <c r="C824" t="s">
        <v>156</v>
      </c>
      <c r="D824" s="32">
        <v>193.65000000000003</v>
      </c>
      <c r="E824" s="32">
        <v>0</v>
      </c>
      <c r="F824" s="32">
        <v>59340</v>
      </c>
      <c r="G824" s="32">
        <v>0</v>
      </c>
      <c r="H824" s="32">
        <v>149652</v>
      </c>
      <c r="I824" s="15" t="s">
        <v>199</v>
      </c>
    </row>
    <row r="825" spans="1:9" x14ac:dyDescent="0.2">
      <c r="A825" t="s">
        <v>21</v>
      </c>
      <c r="B825" t="s">
        <v>153</v>
      </c>
      <c r="C825" t="s">
        <v>156</v>
      </c>
      <c r="D825" s="32">
        <v>279.28333333333336</v>
      </c>
      <c r="E825" s="32">
        <v>0</v>
      </c>
      <c r="F825" s="32">
        <v>81000</v>
      </c>
      <c r="G825" s="32">
        <v>0</v>
      </c>
      <c r="H825" s="32">
        <v>215618</v>
      </c>
      <c r="I825" s="15" t="s">
        <v>199</v>
      </c>
    </row>
    <row r="826" spans="1:9" x14ac:dyDescent="0.2">
      <c r="A826" t="s">
        <v>90</v>
      </c>
      <c r="B826" t="s">
        <v>150</v>
      </c>
      <c r="C826" t="s">
        <v>156</v>
      </c>
      <c r="D826" s="32">
        <v>5602.9000000000187</v>
      </c>
      <c r="E826" s="32">
        <v>3401</v>
      </c>
      <c r="F826" s="32">
        <v>3024499</v>
      </c>
      <c r="G826" s="32">
        <v>0</v>
      </c>
      <c r="H826" s="32">
        <v>4194388</v>
      </c>
      <c r="I826" s="15" t="s">
        <v>199</v>
      </c>
    </row>
    <row r="827" spans="1:9" x14ac:dyDescent="0.2">
      <c r="A827" t="s">
        <v>15</v>
      </c>
      <c r="B827" t="s">
        <v>150</v>
      </c>
      <c r="C827" t="s">
        <v>156</v>
      </c>
      <c r="D827" s="32">
        <v>307</v>
      </c>
      <c r="E827" s="32">
        <v>0</v>
      </c>
      <c r="F827" s="32">
        <v>0</v>
      </c>
      <c r="G827" s="32">
        <v>0</v>
      </c>
      <c r="H827" s="32">
        <v>217879</v>
      </c>
      <c r="I827" s="15" t="s">
        <v>199</v>
      </c>
    </row>
    <row r="828" spans="1:9" x14ac:dyDescent="0.2">
      <c r="A828" t="s">
        <v>30</v>
      </c>
      <c r="B828" t="s">
        <v>150</v>
      </c>
      <c r="C828" t="s">
        <v>156</v>
      </c>
      <c r="D828" s="32">
        <v>2258.0000000000005</v>
      </c>
      <c r="E828" s="32">
        <v>0</v>
      </c>
      <c r="F828" s="32">
        <v>1190415</v>
      </c>
      <c r="G828" s="32">
        <v>0</v>
      </c>
      <c r="H828" s="32">
        <v>1378915</v>
      </c>
      <c r="I828" s="15" t="s">
        <v>199</v>
      </c>
    </row>
    <row r="829" spans="1:9" x14ac:dyDescent="0.2">
      <c r="A829" t="s">
        <v>73</v>
      </c>
      <c r="B829" t="s">
        <v>150</v>
      </c>
      <c r="C829" t="s">
        <v>156</v>
      </c>
      <c r="D829" s="32">
        <v>346.80000000000007</v>
      </c>
      <c r="E829" s="32">
        <v>0</v>
      </c>
      <c r="F829" s="32">
        <v>213300</v>
      </c>
      <c r="G829" s="32">
        <v>0</v>
      </c>
      <c r="H829" s="32">
        <v>255388</v>
      </c>
      <c r="I829" s="15" t="s">
        <v>199</v>
      </c>
    </row>
    <row r="830" spans="1:9" x14ac:dyDescent="0.2">
      <c r="A830" t="s">
        <v>81</v>
      </c>
      <c r="B830" t="s">
        <v>153</v>
      </c>
      <c r="C830" t="s">
        <v>156</v>
      </c>
      <c r="D830" s="32">
        <v>247</v>
      </c>
      <c r="E830" s="32">
        <v>0</v>
      </c>
      <c r="F830" s="32">
        <v>226380</v>
      </c>
      <c r="G830" s="32">
        <v>0</v>
      </c>
      <c r="H830" s="32">
        <v>207688</v>
      </c>
      <c r="I830" s="15" t="s">
        <v>199</v>
      </c>
    </row>
    <row r="831" spans="1:9" x14ac:dyDescent="0.2">
      <c r="A831" t="s">
        <v>5</v>
      </c>
      <c r="B831" t="s">
        <v>149</v>
      </c>
      <c r="C831" t="s">
        <v>156</v>
      </c>
      <c r="D831" s="32">
        <v>24.86666666666666</v>
      </c>
      <c r="E831" s="32">
        <v>0</v>
      </c>
      <c r="F831" s="32">
        <v>43199</v>
      </c>
      <c r="G831" s="32">
        <v>0</v>
      </c>
      <c r="H831" s="32">
        <v>34236</v>
      </c>
      <c r="I831" s="15" t="s">
        <v>199</v>
      </c>
    </row>
    <row r="832" spans="1:9" x14ac:dyDescent="0.2">
      <c r="A832" t="s">
        <v>50</v>
      </c>
      <c r="B832" t="s">
        <v>149</v>
      </c>
      <c r="C832" t="s">
        <v>156</v>
      </c>
      <c r="D832" s="32">
        <v>4227.283333333331</v>
      </c>
      <c r="E832" s="32">
        <v>0</v>
      </c>
      <c r="F832" s="32">
        <v>0</v>
      </c>
      <c r="G832" s="32">
        <v>0</v>
      </c>
      <c r="H832" s="32">
        <v>3181185</v>
      </c>
      <c r="I832" s="15" t="s">
        <v>199</v>
      </c>
    </row>
    <row r="833" spans="1:9" x14ac:dyDescent="0.2">
      <c r="A833" t="s">
        <v>198</v>
      </c>
      <c r="B833" t="s">
        <v>153</v>
      </c>
      <c r="C833" t="s">
        <v>156</v>
      </c>
      <c r="D833" s="32">
        <v>108.76666666666667</v>
      </c>
      <c r="E833" s="32">
        <v>0</v>
      </c>
      <c r="F833" s="32">
        <v>81672</v>
      </c>
      <c r="G833" s="32">
        <v>0</v>
      </c>
      <c r="H833" s="32">
        <v>79730</v>
      </c>
      <c r="I833" s="15" t="s">
        <v>199</v>
      </c>
    </row>
    <row r="834" spans="1:9" x14ac:dyDescent="0.2">
      <c r="A834" t="s">
        <v>37</v>
      </c>
      <c r="B834" t="s">
        <v>151</v>
      </c>
      <c r="C834" t="s">
        <v>156</v>
      </c>
      <c r="D834" s="32">
        <v>1527.8833333333271</v>
      </c>
      <c r="E834" s="32">
        <v>0</v>
      </c>
      <c r="F834" s="32">
        <v>798448</v>
      </c>
      <c r="G834" s="32">
        <v>0</v>
      </c>
      <c r="H834" s="32">
        <v>1346616</v>
      </c>
      <c r="I834" s="15" t="s">
        <v>199</v>
      </c>
    </row>
    <row r="835" spans="1:9" x14ac:dyDescent="0.2">
      <c r="A835" t="s">
        <v>41</v>
      </c>
      <c r="B835" t="s">
        <v>153</v>
      </c>
      <c r="C835" t="s">
        <v>156</v>
      </c>
      <c r="D835" s="32">
        <v>163.26666666666665</v>
      </c>
      <c r="E835" s="32">
        <v>0</v>
      </c>
      <c r="F835" s="32">
        <v>61102</v>
      </c>
      <c r="G835" s="32">
        <v>0</v>
      </c>
      <c r="H835" s="32">
        <v>132904</v>
      </c>
      <c r="I835" s="15" t="s">
        <v>199</v>
      </c>
    </row>
    <row r="836" spans="1:9" x14ac:dyDescent="0.2">
      <c r="A836" t="s">
        <v>108</v>
      </c>
      <c r="B836" t="s">
        <v>149</v>
      </c>
      <c r="C836" s="15" t="s">
        <v>155</v>
      </c>
      <c r="D836" s="32">
        <v>431.76666666666665</v>
      </c>
      <c r="E836" s="32">
        <v>185</v>
      </c>
      <c r="F836" s="32">
        <v>98302.900000000023</v>
      </c>
      <c r="G836" s="32">
        <v>1296.1999999999998</v>
      </c>
      <c r="H836" s="32">
        <v>175339</v>
      </c>
      <c r="I836" s="15" t="s">
        <v>200</v>
      </c>
    </row>
    <row r="837" spans="1:9" x14ac:dyDescent="0.2">
      <c r="A837" t="s">
        <v>4</v>
      </c>
      <c r="B837" t="s">
        <v>149</v>
      </c>
      <c r="C837" s="15" t="s">
        <v>155</v>
      </c>
      <c r="D837" s="32">
        <v>2810.5833333333339</v>
      </c>
      <c r="E837" s="32">
        <v>0</v>
      </c>
      <c r="F837" s="32">
        <v>392822</v>
      </c>
      <c r="G837" s="32">
        <v>0</v>
      </c>
      <c r="H837" s="32">
        <v>1095491</v>
      </c>
      <c r="I837" s="15" t="s">
        <v>200</v>
      </c>
    </row>
    <row r="838" spans="1:9" x14ac:dyDescent="0.2">
      <c r="A838" t="s">
        <v>2</v>
      </c>
      <c r="B838" t="s">
        <v>149</v>
      </c>
      <c r="C838" s="15" t="s">
        <v>155</v>
      </c>
      <c r="D838" s="32">
        <v>9194.9833333333481</v>
      </c>
      <c r="E838" s="32">
        <v>3210</v>
      </c>
      <c r="F838" s="32">
        <v>4494435</v>
      </c>
      <c r="G838" s="32">
        <v>0</v>
      </c>
      <c r="H838" s="32">
        <v>4629828</v>
      </c>
      <c r="I838" s="15" t="s">
        <v>200</v>
      </c>
    </row>
    <row r="839" spans="1:9" x14ac:dyDescent="0.2">
      <c r="A839" t="s">
        <v>1</v>
      </c>
      <c r="B839" t="s">
        <v>149</v>
      </c>
      <c r="C839" s="15" t="s">
        <v>155</v>
      </c>
      <c r="D839" s="32">
        <v>15121.883333333317</v>
      </c>
      <c r="E839" s="32">
        <v>402.6271999999999</v>
      </c>
      <c r="F839" s="32">
        <v>5811132.8975000037</v>
      </c>
      <c r="G839" s="32">
        <v>0</v>
      </c>
      <c r="H839" s="32">
        <v>6700581</v>
      </c>
      <c r="I839" s="15" t="s">
        <v>200</v>
      </c>
    </row>
    <row r="840" spans="1:9" x14ac:dyDescent="0.2">
      <c r="A840" t="s">
        <v>57</v>
      </c>
      <c r="B840" t="s">
        <v>149</v>
      </c>
      <c r="C840" s="15" t="s">
        <v>155</v>
      </c>
      <c r="D840" s="32">
        <v>76.75</v>
      </c>
      <c r="E840" s="32">
        <v>0</v>
      </c>
      <c r="F840" s="32">
        <v>0</v>
      </c>
      <c r="G840" s="32">
        <v>0</v>
      </c>
      <c r="H840" s="32">
        <v>27885</v>
      </c>
      <c r="I840" s="15" t="s">
        <v>200</v>
      </c>
    </row>
    <row r="841" spans="1:9" x14ac:dyDescent="0.2">
      <c r="A841" t="s">
        <v>28</v>
      </c>
      <c r="B841" t="s">
        <v>149</v>
      </c>
      <c r="C841" s="15" t="s">
        <v>155</v>
      </c>
      <c r="D841" s="32">
        <v>644.98333333333323</v>
      </c>
      <c r="E841" s="32">
        <v>0</v>
      </c>
      <c r="F841" s="32">
        <v>0</v>
      </c>
      <c r="G841" s="32">
        <v>0</v>
      </c>
      <c r="H841" s="32">
        <v>308485</v>
      </c>
      <c r="I841" s="15" t="s">
        <v>200</v>
      </c>
    </row>
    <row r="842" spans="1:9" x14ac:dyDescent="0.2">
      <c r="A842" t="s">
        <v>3</v>
      </c>
      <c r="B842" t="s">
        <v>149</v>
      </c>
      <c r="C842" s="15" t="s">
        <v>155</v>
      </c>
      <c r="D842" s="32">
        <v>9261.7166666666617</v>
      </c>
      <c r="E842" s="32">
        <v>0</v>
      </c>
      <c r="F842" s="32">
        <v>6526863.7999999803</v>
      </c>
      <c r="G842" s="32">
        <v>0</v>
      </c>
      <c r="H842" s="32">
        <v>6066946</v>
      </c>
      <c r="I842" s="15" t="s">
        <v>200</v>
      </c>
    </row>
    <row r="843" spans="1:9" x14ac:dyDescent="0.2">
      <c r="A843" t="s">
        <v>6</v>
      </c>
      <c r="B843" t="s">
        <v>149</v>
      </c>
      <c r="C843" s="15" t="s">
        <v>155</v>
      </c>
      <c r="D843" s="32">
        <v>1292</v>
      </c>
      <c r="E843" s="32">
        <v>0</v>
      </c>
      <c r="F843" s="32">
        <v>0</v>
      </c>
      <c r="G843" s="32">
        <v>0</v>
      </c>
      <c r="H843" s="32">
        <v>801259</v>
      </c>
      <c r="I843" s="15" t="s">
        <v>200</v>
      </c>
    </row>
    <row r="844" spans="1:9" x14ac:dyDescent="0.2">
      <c r="A844" t="s">
        <v>29</v>
      </c>
      <c r="B844" t="s">
        <v>149</v>
      </c>
      <c r="C844" s="15" t="s">
        <v>155</v>
      </c>
      <c r="D844" s="32">
        <v>38.316666666666663</v>
      </c>
      <c r="E844" s="32">
        <v>0</v>
      </c>
      <c r="F844" s="32">
        <v>0</v>
      </c>
      <c r="G844" s="32">
        <v>0</v>
      </c>
      <c r="H844" s="32">
        <v>13800</v>
      </c>
      <c r="I844" s="15" t="s">
        <v>200</v>
      </c>
    </row>
    <row r="845" spans="1:9" x14ac:dyDescent="0.2">
      <c r="A845" t="s">
        <v>170</v>
      </c>
      <c r="B845" t="s">
        <v>149</v>
      </c>
      <c r="C845" s="15" t="s">
        <v>155</v>
      </c>
      <c r="D845" s="32">
        <v>1356.0999999999997</v>
      </c>
      <c r="E845" s="32">
        <v>0</v>
      </c>
      <c r="F845" s="32">
        <v>378121</v>
      </c>
      <c r="G845" s="32">
        <v>0</v>
      </c>
      <c r="H845" s="32">
        <v>576287</v>
      </c>
      <c r="I845" s="15" t="s">
        <v>200</v>
      </c>
    </row>
    <row r="846" spans="1:9" x14ac:dyDescent="0.2">
      <c r="A846" t="s">
        <v>5</v>
      </c>
      <c r="B846" t="s">
        <v>149</v>
      </c>
      <c r="C846" s="15" t="s">
        <v>155</v>
      </c>
      <c r="D846" s="32">
        <v>1087.5000000000016</v>
      </c>
      <c r="E846" s="32">
        <v>0</v>
      </c>
      <c r="F846" s="32">
        <v>2836003</v>
      </c>
      <c r="G846" s="32">
        <v>0</v>
      </c>
      <c r="H846" s="32">
        <v>2697131</v>
      </c>
      <c r="I846" s="15" t="s">
        <v>200</v>
      </c>
    </row>
    <row r="847" spans="1:9" x14ac:dyDescent="0.2">
      <c r="A847" t="s">
        <v>50</v>
      </c>
      <c r="B847" t="s">
        <v>149</v>
      </c>
      <c r="C847" s="15" t="s">
        <v>155</v>
      </c>
      <c r="D847" s="32">
        <v>11666.383333333335</v>
      </c>
      <c r="E847" s="32">
        <v>0</v>
      </c>
      <c r="F847" s="32">
        <v>0</v>
      </c>
      <c r="G847" s="32">
        <v>0</v>
      </c>
      <c r="H847" s="32">
        <v>8355257</v>
      </c>
      <c r="I847" s="15" t="s">
        <v>200</v>
      </c>
    </row>
    <row r="848" spans="1:9" x14ac:dyDescent="0.2">
      <c r="A848" t="s">
        <v>61</v>
      </c>
      <c r="B848" t="s">
        <v>150</v>
      </c>
      <c r="C848" t="s">
        <v>156</v>
      </c>
      <c r="D848" s="32">
        <v>122.91666666666666</v>
      </c>
      <c r="E848" s="32">
        <v>0</v>
      </c>
      <c r="F848" s="32">
        <v>0</v>
      </c>
      <c r="G848" s="32">
        <v>0</v>
      </c>
      <c r="H848" s="32">
        <v>189118</v>
      </c>
      <c r="I848" s="15" t="s">
        <v>200</v>
      </c>
    </row>
    <row r="849" spans="1:9" x14ac:dyDescent="0.2">
      <c r="A849" t="s">
        <v>147</v>
      </c>
      <c r="B849" t="s">
        <v>152</v>
      </c>
      <c r="C849" t="s">
        <v>156</v>
      </c>
      <c r="D849" s="32">
        <v>283.33333333333337</v>
      </c>
      <c r="E849" s="32">
        <v>0</v>
      </c>
      <c r="F849" s="32">
        <v>117124</v>
      </c>
      <c r="G849" s="32">
        <v>0</v>
      </c>
      <c r="H849" s="32">
        <v>233580</v>
      </c>
      <c r="I849" s="15" t="s">
        <v>200</v>
      </c>
    </row>
    <row r="850" spans="1:9" x14ac:dyDescent="0.2">
      <c r="A850" t="s">
        <v>4</v>
      </c>
      <c r="B850" t="s">
        <v>149</v>
      </c>
      <c r="C850" t="s">
        <v>156</v>
      </c>
      <c r="D850" s="32">
        <v>73.333333333333329</v>
      </c>
      <c r="E850" s="32">
        <v>0</v>
      </c>
      <c r="F850" s="32">
        <v>14361</v>
      </c>
      <c r="G850" s="32">
        <v>0</v>
      </c>
      <c r="H850" s="32">
        <v>33044</v>
      </c>
      <c r="I850" s="15" t="s">
        <v>200</v>
      </c>
    </row>
    <row r="851" spans="1:9" x14ac:dyDescent="0.2">
      <c r="A851" t="s">
        <v>2</v>
      </c>
      <c r="B851" t="s">
        <v>149</v>
      </c>
      <c r="C851" t="s">
        <v>156</v>
      </c>
      <c r="D851" s="32">
        <v>15601.133333333346</v>
      </c>
      <c r="E851" s="32">
        <v>28776</v>
      </c>
      <c r="F851" s="32">
        <v>6094020</v>
      </c>
      <c r="G851" s="32">
        <v>0</v>
      </c>
      <c r="H851" s="32">
        <v>10725958</v>
      </c>
      <c r="I851" s="15" t="s">
        <v>200</v>
      </c>
    </row>
    <row r="852" spans="1:9" x14ac:dyDescent="0.2">
      <c r="A852" t="s">
        <v>1</v>
      </c>
      <c r="B852" t="s">
        <v>149</v>
      </c>
      <c r="C852" t="s">
        <v>156</v>
      </c>
      <c r="D852" s="32">
        <v>2786.6833333333311</v>
      </c>
      <c r="E852" s="32">
        <v>0</v>
      </c>
      <c r="F852" s="32">
        <v>1186303.9940000004</v>
      </c>
      <c r="G852" s="32">
        <v>0</v>
      </c>
      <c r="H852" s="32">
        <v>1490690</v>
      </c>
      <c r="I852" s="15" t="s">
        <v>200</v>
      </c>
    </row>
    <row r="853" spans="1:9" x14ac:dyDescent="0.2">
      <c r="A853" t="s">
        <v>76</v>
      </c>
      <c r="B853" t="s">
        <v>152</v>
      </c>
      <c r="C853" t="s">
        <v>156</v>
      </c>
      <c r="D853" s="32">
        <v>439.00000000000063</v>
      </c>
      <c r="E853" s="32">
        <v>0</v>
      </c>
      <c r="F853" s="32">
        <v>138203</v>
      </c>
      <c r="G853" s="32">
        <v>255</v>
      </c>
      <c r="H853" s="32">
        <v>321256</v>
      </c>
      <c r="I853" s="15" t="s">
        <v>200</v>
      </c>
    </row>
    <row r="854" spans="1:9" x14ac:dyDescent="0.2">
      <c r="A854" t="s">
        <v>57</v>
      </c>
      <c r="B854" t="s">
        <v>149</v>
      </c>
      <c r="C854" t="s">
        <v>156</v>
      </c>
      <c r="D854" s="32">
        <v>549.25</v>
      </c>
      <c r="E854" s="32">
        <v>0</v>
      </c>
      <c r="F854" s="32">
        <v>0</v>
      </c>
      <c r="G854" s="32">
        <v>0</v>
      </c>
      <c r="H854" s="32">
        <v>376795</v>
      </c>
      <c r="I854" s="15" t="s">
        <v>200</v>
      </c>
    </row>
    <row r="855" spans="1:9" x14ac:dyDescent="0.2">
      <c r="A855" t="s">
        <v>67</v>
      </c>
      <c r="B855" t="s">
        <v>153</v>
      </c>
      <c r="C855" t="s">
        <v>156</v>
      </c>
      <c r="D855" s="32">
        <v>256.16666666666669</v>
      </c>
      <c r="E855" s="32">
        <v>0</v>
      </c>
      <c r="F855" s="32">
        <v>134372</v>
      </c>
      <c r="G855" s="32">
        <v>0</v>
      </c>
      <c r="H855" s="32">
        <v>223442</v>
      </c>
      <c r="I855" s="15" t="s">
        <v>200</v>
      </c>
    </row>
    <row r="856" spans="1:9" x14ac:dyDescent="0.2">
      <c r="A856" t="s">
        <v>12</v>
      </c>
      <c r="B856" t="s">
        <v>151</v>
      </c>
      <c r="C856" t="s">
        <v>156</v>
      </c>
      <c r="D856" s="32">
        <v>1620.2833333333369</v>
      </c>
      <c r="E856" s="32">
        <v>22161</v>
      </c>
      <c r="F856" s="32">
        <v>1015919</v>
      </c>
      <c r="G856" s="32">
        <v>0</v>
      </c>
      <c r="H856" s="32">
        <v>1126402</v>
      </c>
      <c r="I856" s="15" t="s">
        <v>200</v>
      </c>
    </row>
    <row r="857" spans="1:9" x14ac:dyDescent="0.2">
      <c r="A857" t="s">
        <v>39</v>
      </c>
      <c r="B857" t="s">
        <v>153</v>
      </c>
      <c r="C857" t="s">
        <v>156</v>
      </c>
      <c r="D857" s="32">
        <v>216.5</v>
      </c>
      <c r="E857" s="32">
        <v>0</v>
      </c>
      <c r="F857" s="32">
        <v>152026</v>
      </c>
      <c r="G857" s="32">
        <v>0</v>
      </c>
      <c r="H857" s="32">
        <v>223244</v>
      </c>
      <c r="I857" s="15" t="s">
        <v>200</v>
      </c>
    </row>
    <row r="858" spans="1:9" x14ac:dyDescent="0.2">
      <c r="A858" t="s">
        <v>65</v>
      </c>
      <c r="B858" t="s">
        <v>153</v>
      </c>
      <c r="C858" t="s">
        <v>156</v>
      </c>
      <c r="D858" s="32">
        <v>865</v>
      </c>
      <c r="E858" s="32">
        <v>14855</v>
      </c>
      <c r="F858" s="32">
        <v>488241</v>
      </c>
      <c r="G858" s="32">
        <v>0</v>
      </c>
      <c r="H858" s="32">
        <v>789485</v>
      </c>
      <c r="I858" s="15" t="s">
        <v>200</v>
      </c>
    </row>
    <row r="859" spans="1:9" x14ac:dyDescent="0.2">
      <c r="A859" t="s">
        <v>68</v>
      </c>
      <c r="B859" t="s">
        <v>151</v>
      </c>
      <c r="C859" t="s">
        <v>156</v>
      </c>
      <c r="D859" s="32">
        <v>675.41666666666686</v>
      </c>
      <c r="E859" s="32">
        <v>0</v>
      </c>
      <c r="F859" s="32">
        <v>726583</v>
      </c>
      <c r="G859" s="32">
        <v>0</v>
      </c>
      <c r="H859" s="32">
        <v>559555</v>
      </c>
      <c r="I859" s="15" t="s">
        <v>200</v>
      </c>
    </row>
    <row r="860" spans="1:9" x14ac:dyDescent="0.2">
      <c r="A860" t="s">
        <v>10</v>
      </c>
      <c r="B860" t="s">
        <v>150</v>
      </c>
      <c r="C860" t="s">
        <v>156</v>
      </c>
      <c r="D860" s="32">
        <v>5298.3333333333339</v>
      </c>
      <c r="E860" s="32">
        <v>0</v>
      </c>
      <c r="F860" s="32">
        <v>26220670</v>
      </c>
      <c r="G860" s="32">
        <v>0</v>
      </c>
      <c r="H860" s="32">
        <v>2177050</v>
      </c>
      <c r="I860" s="15" t="s">
        <v>200</v>
      </c>
    </row>
    <row r="861" spans="1:9" x14ac:dyDescent="0.2">
      <c r="A861" t="s">
        <v>8</v>
      </c>
      <c r="B861" t="s">
        <v>150</v>
      </c>
      <c r="C861" t="s">
        <v>156</v>
      </c>
      <c r="D861" s="32">
        <v>6852.9833333333063</v>
      </c>
      <c r="E861" s="32">
        <v>155056</v>
      </c>
      <c r="F861" s="32">
        <v>3577168</v>
      </c>
      <c r="G861" s="32">
        <v>0</v>
      </c>
      <c r="H861" s="32">
        <v>4116874</v>
      </c>
      <c r="I861" s="15" t="s">
        <v>200</v>
      </c>
    </row>
    <row r="862" spans="1:9" x14ac:dyDescent="0.2">
      <c r="A862" t="s">
        <v>17</v>
      </c>
      <c r="B862" t="s">
        <v>150</v>
      </c>
      <c r="C862" t="s">
        <v>156</v>
      </c>
      <c r="D862" s="32">
        <v>115.16666666666666</v>
      </c>
      <c r="E862" s="32">
        <v>0</v>
      </c>
      <c r="F862" s="32">
        <v>0</v>
      </c>
      <c r="G862" s="32">
        <v>0</v>
      </c>
      <c r="H862" s="32">
        <v>80543</v>
      </c>
      <c r="I862" s="15" t="s">
        <v>200</v>
      </c>
    </row>
    <row r="863" spans="1:9" x14ac:dyDescent="0.2">
      <c r="A863" t="s">
        <v>52</v>
      </c>
      <c r="B863" t="s">
        <v>150</v>
      </c>
      <c r="C863" t="s">
        <v>156</v>
      </c>
      <c r="D863" s="32">
        <v>126</v>
      </c>
      <c r="E863" s="32">
        <v>0</v>
      </c>
      <c r="F863" s="32">
        <v>0</v>
      </c>
      <c r="G863" s="32">
        <v>0</v>
      </c>
      <c r="H863" s="32">
        <v>77958</v>
      </c>
      <c r="I863" s="15" t="s">
        <v>200</v>
      </c>
    </row>
    <row r="864" spans="1:9" x14ac:dyDescent="0.2">
      <c r="A864" t="s">
        <v>34</v>
      </c>
      <c r="B864" t="s">
        <v>152</v>
      </c>
      <c r="C864" t="s">
        <v>156</v>
      </c>
      <c r="D864" s="32">
        <v>1173.5</v>
      </c>
      <c r="E864" s="32">
        <v>2417</v>
      </c>
      <c r="F864" s="32">
        <v>610198</v>
      </c>
      <c r="G864" s="32">
        <v>0</v>
      </c>
      <c r="H864" s="32">
        <v>841080</v>
      </c>
      <c r="I864" s="15" t="s">
        <v>200</v>
      </c>
    </row>
    <row r="865" spans="1:9" x14ac:dyDescent="0.2">
      <c r="A865" t="s">
        <v>56</v>
      </c>
      <c r="B865" t="s">
        <v>153</v>
      </c>
      <c r="C865" t="s">
        <v>156</v>
      </c>
      <c r="D865" s="32">
        <v>154.65</v>
      </c>
      <c r="E865" s="32">
        <v>0</v>
      </c>
      <c r="F865" s="32">
        <v>49793</v>
      </c>
      <c r="G865" s="32">
        <v>0</v>
      </c>
      <c r="H865" s="32">
        <v>128760</v>
      </c>
      <c r="I865" s="15" t="s">
        <v>200</v>
      </c>
    </row>
    <row r="866" spans="1:9" x14ac:dyDescent="0.2">
      <c r="A866" t="s">
        <v>20</v>
      </c>
      <c r="B866" t="s">
        <v>153</v>
      </c>
      <c r="C866" t="s">
        <v>156</v>
      </c>
      <c r="D866" s="32">
        <v>700</v>
      </c>
      <c r="E866" s="32">
        <v>0</v>
      </c>
      <c r="F866" s="32">
        <v>314660</v>
      </c>
      <c r="G866" s="32">
        <v>0</v>
      </c>
      <c r="H866" s="32">
        <v>600036</v>
      </c>
      <c r="I866" s="15" t="s">
        <v>200</v>
      </c>
    </row>
    <row r="867" spans="1:9" x14ac:dyDescent="0.2">
      <c r="A867" t="s">
        <v>18</v>
      </c>
      <c r="B867" t="s">
        <v>153</v>
      </c>
      <c r="C867" t="s">
        <v>156</v>
      </c>
      <c r="D867" s="32">
        <v>769.99999999999943</v>
      </c>
      <c r="E867" s="32">
        <v>0</v>
      </c>
      <c r="F867" s="32">
        <v>0</v>
      </c>
      <c r="G867" s="32">
        <v>0</v>
      </c>
      <c r="H867" s="32">
        <v>626313</v>
      </c>
      <c r="I867" s="15" t="s">
        <v>200</v>
      </c>
    </row>
    <row r="868" spans="1:9" x14ac:dyDescent="0.2">
      <c r="A868" t="s">
        <v>148</v>
      </c>
      <c r="B868" t="s">
        <v>154</v>
      </c>
      <c r="C868" t="s">
        <v>156</v>
      </c>
      <c r="D868" s="32">
        <v>3569.0500000000029</v>
      </c>
      <c r="E868" s="32">
        <v>0</v>
      </c>
      <c r="F868" s="32">
        <v>0</v>
      </c>
      <c r="G868" s="32">
        <v>0</v>
      </c>
      <c r="H868" s="32">
        <v>1174068</v>
      </c>
      <c r="I868" s="15" t="s">
        <v>200</v>
      </c>
    </row>
    <row r="869" spans="1:9" x14ac:dyDescent="0.2">
      <c r="A869" t="s">
        <v>7</v>
      </c>
      <c r="B869" t="s">
        <v>150</v>
      </c>
      <c r="C869" t="s">
        <v>156</v>
      </c>
      <c r="D869" s="32">
        <v>2941.3500000000017</v>
      </c>
      <c r="E869" s="32">
        <v>0</v>
      </c>
      <c r="F869" s="32">
        <v>0</v>
      </c>
      <c r="G869" s="32">
        <v>0</v>
      </c>
      <c r="H869" s="32">
        <v>1934644</v>
      </c>
      <c r="I869" s="15" t="s">
        <v>200</v>
      </c>
    </row>
    <row r="870" spans="1:9" x14ac:dyDescent="0.2">
      <c r="A870" t="s">
        <v>31</v>
      </c>
      <c r="B870" t="s">
        <v>152</v>
      </c>
      <c r="C870" t="s">
        <v>156</v>
      </c>
      <c r="D870" s="32">
        <v>2563.5666666666734</v>
      </c>
      <c r="E870" s="32">
        <v>200</v>
      </c>
      <c r="F870" s="32">
        <v>1459359</v>
      </c>
      <c r="G870" s="32">
        <v>5143</v>
      </c>
      <c r="H870" s="32">
        <v>1695580</v>
      </c>
      <c r="I870" s="15" t="s">
        <v>200</v>
      </c>
    </row>
    <row r="871" spans="1:9" x14ac:dyDescent="0.2">
      <c r="A871" t="s">
        <v>33</v>
      </c>
      <c r="B871" t="s">
        <v>152</v>
      </c>
      <c r="C871" t="s">
        <v>156</v>
      </c>
      <c r="D871" s="32">
        <v>189.33333333333334</v>
      </c>
      <c r="E871" s="32">
        <v>20</v>
      </c>
      <c r="F871" s="32">
        <v>264248</v>
      </c>
      <c r="G871" s="32">
        <v>48168</v>
      </c>
      <c r="H871" s="32">
        <v>122736</v>
      </c>
      <c r="I871" s="15" t="s">
        <v>200</v>
      </c>
    </row>
    <row r="872" spans="1:9" x14ac:dyDescent="0.2">
      <c r="A872" t="s">
        <v>9</v>
      </c>
      <c r="B872" t="s">
        <v>150</v>
      </c>
      <c r="C872" t="s">
        <v>156</v>
      </c>
      <c r="D872" s="32">
        <v>4223.3333333333321</v>
      </c>
      <c r="E872" s="32">
        <v>41353</v>
      </c>
      <c r="F872" s="32">
        <v>2474444</v>
      </c>
      <c r="G872" s="32">
        <v>0</v>
      </c>
      <c r="H872" s="32">
        <v>2743611</v>
      </c>
      <c r="I872" s="15" t="s">
        <v>200</v>
      </c>
    </row>
    <row r="873" spans="1:9" x14ac:dyDescent="0.2">
      <c r="A873" t="s">
        <v>63</v>
      </c>
      <c r="B873" t="s">
        <v>152</v>
      </c>
      <c r="C873" t="s">
        <v>156</v>
      </c>
      <c r="D873" s="32">
        <v>68.649999999999991</v>
      </c>
      <c r="E873" s="32">
        <v>0</v>
      </c>
      <c r="F873" s="32">
        <v>0</v>
      </c>
      <c r="G873" s="32">
        <v>0</v>
      </c>
      <c r="H873" s="32">
        <v>35904</v>
      </c>
      <c r="I873" s="15" t="s">
        <v>200</v>
      </c>
    </row>
    <row r="874" spans="1:9" x14ac:dyDescent="0.2">
      <c r="A874" t="s">
        <v>111</v>
      </c>
      <c r="B874" t="s">
        <v>154</v>
      </c>
      <c r="C874" t="s">
        <v>156</v>
      </c>
      <c r="D874" s="32">
        <v>739.75000000000045</v>
      </c>
      <c r="E874" s="32">
        <v>0</v>
      </c>
      <c r="F874" s="32">
        <v>0</v>
      </c>
      <c r="G874" s="32">
        <v>0</v>
      </c>
      <c r="H874" s="32">
        <v>581197</v>
      </c>
      <c r="I874" s="15" t="s">
        <v>200</v>
      </c>
    </row>
    <row r="875" spans="1:9" x14ac:dyDescent="0.2">
      <c r="A875" t="s">
        <v>172</v>
      </c>
      <c r="B875" t="s">
        <v>150</v>
      </c>
      <c r="C875" t="s">
        <v>156</v>
      </c>
      <c r="D875" s="32">
        <v>1095.5333333333385</v>
      </c>
      <c r="E875" s="32">
        <v>16</v>
      </c>
      <c r="F875" s="32">
        <v>259827</v>
      </c>
      <c r="G875" s="32">
        <v>0</v>
      </c>
      <c r="H875" s="32">
        <v>589379</v>
      </c>
      <c r="I875" s="15" t="s">
        <v>200</v>
      </c>
    </row>
    <row r="876" spans="1:9" x14ac:dyDescent="0.2">
      <c r="A876" t="s">
        <v>28</v>
      </c>
      <c r="B876" t="s">
        <v>149</v>
      </c>
      <c r="C876" t="s">
        <v>156</v>
      </c>
      <c r="D876" s="32">
        <v>67.416666666666657</v>
      </c>
      <c r="E876" s="32">
        <v>0</v>
      </c>
      <c r="F876" s="32">
        <v>0</v>
      </c>
      <c r="G876" s="32">
        <v>0</v>
      </c>
      <c r="H876" s="32">
        <v>34434</v>
      </c>
      <c r="I876" s="15" t="s">
        <v>200</v>
      </c>
    </row>
    <row r="877" spans="1:9" x14ac:dyDescent="0.2">
      <c r="A877" t="s">
        <v>106</v>
      </c>
      <c r="B877" t="s">
        <v>153</v>
      </c>
      <c r="C877" t="s">
        <v>156</v>
      </c>
      <c r="D877" s="32">
        <v>156.58333333333334</v>
      </c>
      <c r="E877" s="32">
        <v>0</v>
      </c>
      <c r="F877" s="32">
        <v>23924</v>
      </c>
      <c r="G877" s="32">
        <v>0</v>
      </c>
      <c r="H877" s="32">
        <v>143514</v>
      </c>
      <c r="I877" s="15" t="s">
        <v>200</v>
      </c>
    </row>
    <row r="878" spans="1:9" x14ac:dyDescent="0.2">
      <c r="A878" t="s">
        <v>14</v>
      </c>
      <c r="B878" t="s">
        <v>150</v>
      </c>
      <c r="C878" t="s">
        <v>156</v>
      </c>
      <c r="D878" s="32">
        <v>336</v>
      </c>
      <c r="E878" s="32">
        <v>0</v>
      </c>
      <c r="F878" s="32">
        <v>0</v>
      </c>
      <c r="G878" s="32">
        <v>0</v>
      </c>
      <c r="H878" s="32">
        <v>264822</v>
      </c>
      <c r="I878" s="15" t="s">
        <v>200</v>
      </c>
    </row>
    <row r="879" spans="1:9" x14ac:dyDescent="0.2">
      <c r="A879" t="s">
        <v>13</v>
      </c>
      <c r="B879" t="s">
        <v>150</v>
      </c>
      <c r="C879" t="s">
        <v>156</v>
      </c>
      <c r="D879" s="32">
        <v>1104.6666666666672</v>
      </c>
      <c r="E879" s="32">
        <v>0</v>
      </c>
      <c r="F879" s="32">
        <v>951740</v>
      </c>
      <c r="G879" s="32">
        <v>0</v>
      </c>
      <c r="H879" s="32">
        <v>805892</v>
      </c>
      <c r="I879" s="15" t="s">
        <v>200</v>
      </c>
    </row>
    <row r="880" spans="1:9" x14ac:dyDescent="0.2">
      <c r="A880" t="s">
        <v>64</v>
      </c>
      <c r="B880" t="s">
        <v>153</v>
      </c>
      <c r="C880" t="s">
        <v>156</v>
      </c>
      <c r="D880" s="32">
        <v>1176</v>
      </c>
      <c r="E880" s="32">
        <v>10876</v>
      </c>
      <c r="F880" s="32">
        <v>575797</v>
      </c>
      <c r="G880" s="32">
        <v>5598</v>
      </c>
      <c r="H880" s="32">
        <v>1016960</v>
      </c>
      <c r="I880" s="15" t="s">
        <v>200</v>
      </c>
    </row>
    <row r="881" spans="1:9" x14ac:dyDescent="0.2">
      <c r="A881" t="s">
        <v>3</v>
      </c>
      <c r="B881" t="s">
        <v>149</v>
      </c>
      <c r="C881" t="s">
        <v>156</v>
      </c>
      <c r="D881" s="32">
        <v>3093.5000000000018</v>
      </c>
      <c r="E881" s="32">
        <v>0</v>
      </c>
      <c r="F881" s="32">
        <v>1018070.9999999991</v>
      </c>
      <c r="G881" s="32">
        <v>0</v>
      </c>
      <c r="H881" s="32">
        <v>2256444</v>
      </c>
      <c r="I881" s="15" t="s">
        <v>200</v>
      </c>
    </row>
    <row r="882" spans="1:9" x14ac:dyDescent="0.2">
      <c r="A882" t="s">
        <v>58</v>
      </c>
      <c r="B882" t="s">
        <v>150</v>
      </c>
      <c r="C882" t="s">
        <v>156</v>
      </c>
      <c r="D882" s="32">
        <v>1100.9699999999998</v>
      </c>
      <c r="E882" s="32">
        <v>0</v>
      </c>
      <c r="F882" s="32">
        <v>544229</v>
      </c>
      <c r="G882" s="32">
        <v>0</v>
      </c>
      <c r="H882" s="32">
        <v>802200</v>
      </c>
      <c r="I882" s="15" t="s">
        <v>200</v>
      </c>
    </row>
    <row r="883" spans="1:9" x14ac:dyDescent="0.2">
      <c r="A883" t="s">
        <v>35</v>
      </c>
      <c r="B883" t="s">
        <v>153</v>
      </c>
      <c r="C883" t="s">
        <v>156</v>
      </c>
      <c r="D883" s="32">
        <v>680</v>
      </c>
      <c r="E883" s="32">
        <v>53188</v>
      </c>
      <c r="F883" s="32">
        <v>310067</v>
      </c>
      <c r="G883" s="32">
        <v>0</v>
      </c>
      <c r="H883" s="32">
        <v>626960</v>
      </c>
      <c r="I883" s="15" t="s">
        <v>200</v>
      </c>
    </row>
    <row r="884" spans="1:9" x14ac:dyDescent="0.2">
      <c r="A884" t="s">
        <v>32</v>
      </c>
      <c r="B884" t="s">
        <v>152</v>
      </c>
      <c r="C884" t="s">
        <v>156</v>
      </c>
      <c r="D884" s="32">
        <v>120</v>
      </c>
      <c r="E884" s="32">
        <v>0</v>
      </c>
      <c r="F884" s="32">
        <v>101599</v>
      </c>
      <c r="G884" s="32">
        <v>0</v>
      </c>
      <c r="H884" s="32">
        <v>75300</v>
      </c>
      <c r="I884" s="15" t="s">
        <v>200</v>
      </c>
    </row>
    <row r="885" spans="1:9" x14ac:dyDescent="0.2">
      <c r="A885" t="s">
        <v>62</v>
      </c>
      <c r="B885" t="s">
        <v>152</v>
      </c>
      <c r="C885" t="s">
        <v>156</v>
      </c>
      <c r="D885" s="32">
        <v>578</v>
      </c>
      <c r="E885" s="32">
        <v>0</v>
      </c>
      <c r="F885" s="32">
        <v>245002</v>
      </c>
      <c r="G885" s="32">
        <v>85</v>
      </c>
      <c r="H885" s="32">
        <v>444468</v>
      </c>
      <c r="I885" s="15" t="s">
        <v>200</v>
      </c>
    </row>
    <row r="886" spans="1:9" x14ac:dyDescent="0.2">
      <c r="A886" t="s">
        <v>112</v>
      </c>
      <c r="B886" t="s">
        <v>152</v>
      </c>
      <c r="C886" t="s">
        <v>156</v>
      </c>
      <c r="D886" s="32">
        <v>180</v>
      </c>
      <c r="E886" s="32">
        <v>0</v>
      </c>
      <c r="F886" s="32">
        <v>117831</v>
      </c>
      <c r="G886" s="32">
        <v>0</v>
      </c>
      <c r="H886" s="32">
        <v>136320</v>
      </c>
      <c r="I886" s="15" t="s">
        <v>200</v>
      </c>
    </row>
    <row r="887" spans="1:9" x14ac:dyDescent="0.2">
      <c r="A887" t="s">
        <v>19</v>
      </c>
      <c r="B887" t="s">
        <v>152</v>
      </c>
      <c r="C887" t="s">
        <v>156</v>
      </c>
      <c r="D887" s="32">
        <v>825</v>
      </c>
      <c r="E887" s="32">
        <v>0</v>
      </c>
      <c r="F887" s="32">
        <v>432767</v>
      </c>
      <c r="G887" s="32">
        <v>91</v>
      </c>
      <c r="H887" s="32">
        <v>596670</v>
      </c>
      <c r="I887" s="15" t="s">
        <v>200</v>
      </c>
    </row>
    <row r="888" spans="1:9" x14ac:dyDescent="0.2">
      <c r="A888" t="s">
        <v>66</v>
      </c>
      <c r="B888" t="s">
        <v>153</v>
      </c>
      <c r="C888" t="s">
        <v>156</v>
      </c>
      <c r="D888" s="32">
        <v>880</v>
      </c>
      <c r="E888" s="32">
        <v>14826</v>
      </c>
      <c r="F888" s="32">
        <v>457902</v>
      </c>
      <c r="G888" s="32">
        <v>0</v>
      </c>
      <c r="H888" s="32">
        <v>852930</v>
      </c>
      <c r="I888" s="15" t="s">
        <v>200</v>
      </c>
    </row>
    <row r="889" spans="1:9" x14ac:dyDescent="0.2">
      <c r="A889" t="s">
        <v>99</v>
      </c>
      <c r="B889" t="s">
        <v>153</v>
      </c>
      <c r="C889" t="s">
        <v>156</v>
      </c>
      <c r="D889" s="32">
        <v>512.5</v>
      </c>
      <c r="E889" s="32">
        <v>0</v>
      </c>
      <c r="F889" s="32">
        <v>0</v>
      </c>
      <c r="G889" s="32">
        <v>0</v>
      </c>
      <c r="H889" s="32">
        <v>392165</v>
      </c>
      <c r="I889" s="15" t="s">
        <v>200</v>
      </c>
    </row>
    <row r="890" spans="1:9" x14ac:dyDescent="0.2">
      <c r="A890" t="s">
        <v>188</v>
      </c>
      <c r="B890" t="s">
        <v>153</v>
      </c>
      <c r="C890" t="s">
        <v>156</v>
      </c>
      <c r="D890" s="32">
        <v>64</v>
      </c>
      <c r="E890" s="32">
        <v>0</v>
      </c>
      <c r="F890" s="32">
        <v>0</v>
      </c>
      <c r="G890" s="32">
        <v>0</v>
      </c>
      <c r="H890" s="32">
        <v>38128</v>
      </c>
      <c r="I890" s="15" t="s">
        <v>200</v>
      </c>
    </row>
    <row r="891" spans="1:9" x14ac:dyDescent="0.2">
      <c r="A891" t="s">
        <v>29</v>
      </c>
      <c r="B891" t="s">
        <v>149</v>
      </c>
      <c r="C891" t="s">
        <v>156</v>
      </c>
      <c r="D891" s="32">
        <v>423.5</v>
      </c>
      <c r="E891" s="32">
        <v>0</v>
      </c>
      <c r="F891" s="32">
        <v>0</v>
      </c>
      <c r="G891" s="32">
        <v>0</v>
      </c>
      <c r="H891" s="32">
        <v>279754</v>
      </c>
      <c r="I891" s="15" t="s">
        <v>200</v>
      </c>
    </row>
    <row r="892" spans="1:9" x14ac:dyDescent="0.2">
      <c r="A892" t="s">
        <v>59</v>
      </c>
      <c r="B892" t="s">
        <v>150</v>
      </c>
      <c r="C892" t="s">
        <v>156</v>
      </c>
      <c r="D892" s="32">
        <v>1639.1000000000097</v>
      </c>
      <c r="E892" s="32">
        <v>1</v>
      </c>
      <c r="F892" s="32">
        <v>596493</v>
      </c>
      <c r="G892" s="32">
        <v>0</v>
      </c>
      <c r="H892" s="32">
        <v>913180</v>
      </c>
      <c r="I892" s="15" t="s">
        <v>200</v>
      </c>
    </row>
    <row r="893" spans="1:9" x14ac:dyDescent="0.2">
      <c r="A893" t="s">
        <v>38</v>
      </c>
      <c r="B893" t="s">
        <v>150</v>
      </c>
      <c r="C893" t="s">
        <v>156</v>
      </c>
      <c r="D893" s="32">
        <v>346.6666666666668</v>
      </c>
      <c r="E893" s="32">
        <v>0</v>
      </c>
      <c r="F893" s="32">
        <v>184014</v>
      </c>
      <c r="G893" s="32">
        <v>0</v>
      </c>
      <c r="H893" s="32">
        <v>237426</v>
      </c>
      <c r="I893" s="15" t="s">
        <v>200</v>
      </c>
    </row>
    <row r="894" spans="1:9" x14ac:dyDescent="0.2">
      <c r="A894" t="s">
        <v>48</v>
      </c>
      <c r="B894" t="s">
        <v>153</v>
      </c>
      <c r="C894" t="s">
        <v>156</v>
      </c>
      <c r="D894" s="32">
        <v>163.53333333333333</v>
      </c>
      <c r="E894" s="32">
        <v>0</v>
      </c>
      <c r="F894" s="32">
        <v>70780</v>
      </c>
      <c r="G894" s="32">
        <v>0</v>
      </c>
      <c r="H894" s="32">
        <v>143872</v>
      </c>
      <c r="I894" s="15" t="s">
        <v>200</v>
      </c>
    </row>
    <row r="895" spans="1:9" x14ac:dyDescent="0.2">
      <c r="A895" t="s">
        <v>110</v>
      </c>
      <c r="B895" t="s">
        <v>154</v>
      </c>
      <c r="C895" t="s">
        <v>156</v>
      </c>
      <c r="D895" s="32">
        <v>656.66666666666663</v>
      </c>
      <c r="E895" s="32">
        <v>0</v>
      </c>
      <c r="F895" s="32">
        <v>0</v>
      </c>
      <c r="G895" s="32">
        <v>0</v>
      </c>
      <c r="H895" s="32">
        <v>565440</v>
      </c>
      <c r="I895" s="15" t="s">
        <v>200</v>
      </c>
    </row>
    <row r="896" spans="1:9" x14ac:dyDescent="0.2">
      <c r="A896" t="s">
        <v>88</v>
      </c>
      <c r="B896" t="s">
        <v>150</v>
      </c>
      <c r="C896" t="s">
        <v>156</v>
      </c>
      <c r="D896" s="32">
        <v>2000.5166666666685</v>
      </c>
      <c r="E896" s="32">
        <v>0</v>
      </c>
      <c r="F896" s="32">
        <v>0</v>
      </c>
      <c r="G896" s="32">
        <v>0</v>
      </c>
      <c r="H896" s="32">
        <v>1406749</v>
      </c>
      <c r="I896" s="15" t="s">
        <v>200</v>
      </c>
    </row>
    <row r="897" spans="1:9" x14ac:dyDescent="0.2">
      <c r="A897" t="s">
        <v>109</v>
      </c>
      <c r="B897" t="s">
        <v>150</v>
      </c>
      <c r="C897" t="s">
        <v>156</v>
      </c>
      <c r="D897" s="32">
        <v>3229.6833333333325</v>
      </c>
      <c r="E897" s="32">
        <v>0</v>
      </c>
      <c r="F897" s="32">
        <v>1853895</v>
      </c>
      <c r="G897" s="32">
        <v>0</v>
      </c>
      <c r="H897" s="32">
        <v>2054203</v>
      </c>
      <c r="I897" s="15" t="s">
        <v>200</v>
      </c>
    </row>
    <row r="898" spans="1:9" x14ac:dyDescent="0.2">
      <c r="A898" t="s">
        <v>16</v>
      </c>
      <c r="B898" t="s">
        <v>150</v>
      </c>
      <c r="C898" t="s">
        <v>156</v>
      </c>
      <c r="D898" s="32">
        <v>484.91666666666657</v>
      </c>
      <c r="E898" s="32">
        <v>0</v>
      </c>
      <c r="F898" s="32">
        <v>279430.81568000012</v>
      </c>
      <c r="G898" s="32">
        <v>0</v>
      </c>
      <c r="H898" s="32">
        <v>288124</v>
      </c>
      <c r="I898" s="15" t="s">
        <v>200</v>
      </c>
    </row>
    <row r="899" spans="1:9" x14ac:dyDescent="0.2">
      <c r="A899" t="s">
        <v>69</v>
      </c>
      <c r="B899" t="s">
        <v>151</v>
      </c>
      <c r="C899" t="s">
        <v>156</v>
      </c>
      <c r="D899" s="32">
        <v>1623.0333333333292</v>
      </c>
      <c r="E899" s="32">
        <v>0</v>
      </c>
      <c r="F899" s="32">
        <v>1036475</v>
      </c>
      <c r="G899" s="32">
        <v>0</v>
      </c>
      <c r="H899" s="32">
        <v>1377250</v>
      </c>
      <c r="I899" s="15" t="s">
        <v>200</v>
      </c>
    </row>
    <row r="900" spans="1:9" x14ac:dyDescent="0.2">
      <c r="A900" t="s">
        <v>36</v>
      </c>
      <c r="B900" t="s">
        <v>152</v>
      </c>
      <c r="C900" t="s">
        <v>156</v>
      </c>
      <c r="D900" s="32">
        <v>240</v>
      </c>
      <c r="E900" s="32">
        <v>6975</v>
      </c>
      <c r="F900" s="32">
        <v>138413</v>
      </c>
      <c r="G900" s="32">
        <v>0</v>
      </c>
      <c r="H900" s="32">
        <v>150960</v>
      </c>
      <c r="I900" s="15" t="s">
        <v>200</v>
      </c>
    </row>
    <row r="901" spans="1:9" x14ac:dyDescent="0.2">
      <c r="A901" t="s">
        <v>51</v>
      </c>
      <c r="B901" t="s">
        <v>152</v>
      </c>
      <c r="C901" t="s">
        <v>156</v>
      </c>
      <c r="D901" s="32">
        <v>400</v>
      </c>
      <c r="E901" s="32">
        <v>1100</v>
      </c>
      <c r="F901" s="32">
        <v>146582</v>
      </c>
      <c r="G901" s="32">
        <v>0</v>
      </c>
      <c r="H901" s="32">
        <v>349085</v>
      </c>
      <c r="I901" s="15" t="s">
        <v>200</v>
      </c>
    </row>
    <row r="902" spans="1:9" x14ac:dyDescent="0.2">
      <c r="A902" t="s">
        <v>79</v>
      </c>
      <c r="B902" t="s">
        <v>152</v>
      </c>
      <c r="C902" t="s">
        <v>156</v>
      </c>
      <c r="D902" s="32">
        <v>722</v>
      </c>
      <c r="E902" s="32">
        <v>0</v>
      </c>
      <c r="F902" s="32">
        <v>257619</v>
      </c>
      <c r="G902" s="32">
        <v>31</v>
      </c>
      <c r="H902" s="32">
        <v>544108</v>
      </c>
      <c r="I902" s="15" t="s">
        <v>200</v>
      </c>
    </row>
    <row r="903" spans="1:9" x14ac:dyDescent="0.2">
      <c r="A903" t="s">
        <v>40</v>
      </c>
      <c r="B903" t="s">
        <v>152</v>
      </c>
      <c r="C903" t="s">
        <v>156</v>
      </c>
      <c r="D903" s="32">
        <v>40</v>
      </c>
      <c r="E903" s="32">
        <v>0</v>
      </c>
      <c r="F903" s="32">
        <v>0</v>
      </c>
      <c r="G903" s="32">
        <v>0</v>
      </c>
      <c r="H903" s="32">
        <v>25264</v>
      </c>
      <c r="I903" s="15" t="s">
        <v>200</v>
      </c>
    </row>
    <row r="904" spans="1:9" x14ac:dyDescent="0.2">
      <c r="A904" t="s">
        <v>44</v>
      </c>
      <c r="B904" t="s">
        <v>153</v>
      </c>
      <c r="C904" t="s">
        <v>156</v>
      </c>
      <c r="D904" s="32">
        <v>445.5</v>
      </c>
      <c r="E904" s="32">
        <v>0</v>
      </c>
      <c r="F904" s="32">
        <v>166343</v>
      </c>
      <c r="G904" s="32">
        <v>0</v>
      </c>
      <c r="H904" s="32">
        <v>345314</v>
      </c>
      <c r="I904" s="15" t="s">
        <v>200</v>
      </c>
    </row>
    <row r="905" spans="1:9" x14ac:dyDescent="0.2">
      <c r="A905" t="s">
        <v>89</v>
      </c>
      <c r="B905" t="s">
        <v>152</v>
      </c>
      <c r="C905" t="s">
        <v>156</v>
      </c>
      <c r="D905" s="32">
        <v>108</v>
      </c>
      <c r="E905" s="32">
        <v>0</v>
      </c>
      <c r="F905" s="32">
        <v>8942</v>
      </c>
      <c r="G905" s="32">
        <v>0</v>
      </c>
      <c r="H905" s="32">
        <v>44508</v>
      </c>
      <c r="I905" s="15" t="s">
        <v>200</v>
      </c>
    </row>
    <row r="906" spans="1:9" x14ac:dyDescent="0.2">
      <c r="A906" t="s">
        <v>22</v>
      </c>
      <c r="B906" t="s">
        <v>153</v>
      </c>
      <c r="C906" t="s">
        <v>156</v>
      </c>
      <c r="D906" s="32">
        <v>193.64999999999998</v>
      </c>
      <c r="E906" s="32">
        <v>0</v>
      </c>
      <c r="F906" s="32">
        <v>53160</v>
      </c>
      <c r="G906" s="32">
        <v>0</v>
      </c>
      <c r="H906" s="32">
        <v>149652</v>
      </c>
      <c r="I906" s="15" t="s">
        <v>200</v>
      </c>
    </row>
    <row r="907" spans="1:9" x14ac:dyDescent="0.2">
      <c r="A907" t="s">
        <v>21</v>
      </c>
      <c r="B907" t="s">
        <v>153</v>
      </c>
      <c r="C907" t="s">
        <v>156</v>
      </c>
      <c r="D907" s="32">
        <v>279.28333333333336</v>
      </c>
      <c r="E907" s="32">
        <v>0</v>
      </c>
      <c r="F907" s="32">
        <v>70040</v>
      </c>
      <c r="G907" s="32">
        <v>0</v>
      </c>
      <c r="H907" s="32">
        <v>215618</v>
      </c>
      <c r="I907" s="15" t="s">
        <v>200</v>
      </c>
    </row>
    <row r="908" spans="1:9" x14ac:dyDescent="0.2">
      <c r="A908" t="s">
        <v>90</v>
      </c>
      <c r="B908" t="s">
        <v>150</v>
      </c>
      <c r="C908" t="s">
        <v>156</v>
      </c>
      <c r="D908" s="32">
        <v>7850.2999999999902</v>
      </c>
      <c r="E908" s="32">
        <v>5234</v>
      </c>
      <c r="F908" s="32">
        <v>3979023</v>
      </c>
      <c r="G908" s="32">
        <v>0</v>
      </c>
      <c r="H908" s="32">
        <v>5841142</v>
      </c>
      <c r="I908" s="15" t="s">
        <v>200</v>
      </c>
    </row>
    <row r="909" spans="1:9" x14ac:dyDescent="0.2">
      <c r="A909" t="s">
        <v>15</v>
      </c>
      <c r="B909" t="s">
        <v>150</v>
      </c>
      <c r="C909" t="s">
        <v>156</v>
      </c>
      <c r="D909" s="32">
        <v>307</v>
      </c>
      <c r="E909" s="32">
        <v>0</v>
      </c>
      <c r="F909" s="32">
        <v>0</v>
      </c>
      <c r="G909" s="32">
        <v>0</v>
      </c>
      <c r="H909" s="32">
        <v>206952</v>
      </c>
      <c r="I909" s="15" t="s">
        <v>200</v>
      </c>
    </row>
    <row r="910" spans="1:9" x14ac:dyDescent="0.2">
      <c r="A910" t="s">
        <v>30</v>
      </c>
      <c r="B910" t="s">
        <v>150</v>
      </c>
      <c r="C910" t="s">
        <v>156</v>
      </c>
      <c r="D910" s="32">
        <v>3041.1666666666661</v>
      </c>
      <c r="E910" s="32">
        <v>0</v>
      </c>
      <c r="F910" s="32">
        <v>1308666</v>
      </c>
      <c r="G910" s="32">
        <v>0</v>
      </c>
      <c r="H910" s="32">
        <v>1862228</v>
      </c>
      <c r="I910" s="15" t="s">
        <v>200</v>
      </c>
    </row>
    <row r="911" spans="1:9" x14ac:dyDescent="0.2">
      <c r="A911" t="s">
        <v>73</v>
      </c>
      <c r="B911" t="s">
        <v>150</v>
      </c>
      <c r="C911" t="s">
        <v>156</v>
      </c>
      <c r="D911" s="32">
        <v>414.98333333333306</v>
      </c>
      <c r="E911" s="32">
        <v>0</v>
      </c>
      <c r="F911" s="32">
        <v>255300</v>
      </c>
      <c r="G911" s="32">
        <v>0</v>
      </c>
      <c r="H911" s="32">
        <v>304720</v>
      </c>
      <c r="I911" s="15" t="s">
        <v>200</v>
      </c>
    </row>
    <row r="912" spans="1:9" x14ac:dyDescent="0.2">
      <c r="A912" t="s">
        <v>81</v>
      </c>
      <c r="B912" t="s">
        <v>153</v>
      </c>
      <c r="C912" t="s">
        <v>156</v>
      </c>
      <c r="D912" s="32">
        <v>152</v>
      </c>
      <c r="E912" s="32">
        <v>0</v>
      </c>
      <c r="F912" s="32">
        <v>151595</v>
      </c>
      <c r="G912" s="32">
        <v>0</v>
      </c>
      <c r="H912" s="32">
        <v>127808</v>
      </c>
      <c r="I912" s="15" t="s">
        <v>200</v>
      </c>
    </row>
    <row r="913" spans="1:9" x14ac:dyDescent="0.2">
      <c r="A913" t="s">
        <v>5</v>
      </c>
      <c r="B913" t="s">
        <v>149</v>
      </c>
      <c r="C913" t="s">
        <v>156</v>
      </c>
      <c r="D913" s="32">
        <v>18.966666666666669</v>
      </c>
      <c r="E913" s="32">
        <v>0</v>
      </c>
      <c r="F913" s="32">
        <v>37200</v>
      </c>
      <c r="G913" s="32">
        <v>0</v>
      </c>
      <c r="H913" s="32">
        <v>23796</v>
      </c>
      <c r="I913" s="15" t="s">
        <v>200</v>
      </c>
    </row>
    <row r="914" spans="1:9" x14ac:dyDescent="0.2">
      <c r="A914" t="s">
        <v>50</v>
      </c>
      <c r="B914" t="s">
        <v>149</v>
      </c>
      <c r="C914" t="s">
        <v>156</v>
      </c>
      <c r="D914" s="32">
        <v>4519.9500000000025</v>
      </c>
      <c r="E914" s="32">
        <v>0</v>
      </c>
      <c r="F914" s="32">
        <v>0</v>
      </c>
      <c r="G914" s="32">
        <v>0</v>
      </c>
      <c r="H914" s="32">
        <v>3382680</v>
      </c>
      <c r="I914" s="15" t="s">
        <v>200</v>
      </c>
    </row>
    <row r="915" spans="1:9" x14ac:dyDescent="0.2">
      <c r="A915" t="s">
        <v>201</v>
      </c>
      <c r="B915" t="s">
        <v>153</v>
      </c>
      <c r="C915" t="s">
        <v>156</v>
      </c>
      <c r="D915" s="32">
        <v>91.05</v>
      </c>
      <c r="E915" s="32">
        <v>0</v>
      </c>
      <c r="F915" s="32">
        <v>86528</v>
      </c>
      <c r="G915" s="32">
        <v>0</v>
      </c>
      <c r="H915" s="32">
        <v>79730</v>
      </c>
      <c r="I915" s="15" t="s">
        <v>200</v>
      </c>
    </row>
    <row r="916" spans="1:9" x14ac:dyDescent="0.2">
      <c r="A916" t="s">
        <v>37</v>
      </c>
      <c r="B916" t="s">
        <v>151</v>
      </c>
      <c r="C916" t="s">
        <v>156</v>
      </c>
      <c r="D916" s="32">
        <v>3230.316666666688</v>
      </c>
      <c r="E916" s="32">
        <v>0</v>
      </c>
      <c r="F916" s="32">
        <v>1771951</v>
      </c>
      <c r="G916" s="32">
        <v>0</v>
      </c>
      <c r="H916" s="32">
        <v>2828249</v>
      </c>
      <c r="I916" s="15" t="s">
        <v>200</v>
      </c>
    </row>
    <row r="917" spans="1:9" x14ac:dyDescent="0.2">
      <c r="A917" t="s">
        <v>41</v>
      </c>
      <c r="B917" t="s">
        <v>153</v>
      </c>
      <c r="C917" t="s">
        <v>156</v>
      </c>
      <c r="D917" s="32">
        <v>236.24999999999997</v>
      </c>
      <c r="E917" s="32">
        <v>0</v>
      </c>
      <c r="F917" s="32">
        <v>103243</v>
      </c>
      <c r="G917" s="32">
        <v>0</v>
      </c>
      <c r="H917" s="32">
        <v>192333</v>
      </c>
      <c r="I917" s="15" t="s">
        <v>200</v>
      </c>
    </row>
    <row r="918" spans="1:9" x14ac:dyDescent="0.2">
      <c r="A918" t="s">
        <v>108</v>
      </c>
      <c r="B918" t="s">
        <v>149</v>
      </c>
      <c r="C918" s="15" t="s">
        <v>155</v>
      </c>
      <c r="D918" s="32">
        <v>574.31666666666661</v>
      </c>
      <c r="E918" s="32">
        <v>343</v>
      </c>
      <c r="F918" s="32">
        <v>161327.70000000001</v>
      </c>
      <c r="G918" s="32">
        <v>939.9</v>
      </c>
      <c r="H918" s="32">
        <v>218404</v>
      </c>
      <c r="I918" s="15" t="s">
        <v>204</v>
      </c>
    </row>
    <row r="919" spans="1:9" x14ac:dyDescent="0.2">
      <c r="A919" t="s">
        <v>4</v>
      </c>
      <c r="B919" t="s">
        <v>149</v>
      </c>
      <c r="C919" s="15" t="s">
        <v>155</v>
      </c>
      <c r="D919" s="32">
        <v>2901.4166666666661</v>
      </c>
      <c r="E919" s="32">
        <v>0</v>
      </c>
      <c r="F919" s="32">
        <v>423228</v>
      </c>
      <c r="G919" s="32">
        <v>0</v>
      </c>
      <c r="H919" s="32">
        <v>1213906</v>
      </c>
      <c r="I919" s="15" t="s">
        <v>204</v>
      </c>
    </row>
    <row r="920" spans="1:9" x14ac:dyDescent="0.2">
      <c r="A920" t="s">
        <v>2</v>
      </c>
      <c r="B920" t="s">
        <v>149</v>
      </c>
      <c r="C920" s="15" t="s">
        <v>155</v>
      </c>
      <c r="D920" s="32">
        <v>8925.9333333333452</v>
      </c>
      <c r="E920" s="32">
        <v>1839</v>
      </c>
      <c r="F920" s="32">
        <v>4554913</v>
      </c>
      <c r="G920" s="32">
        <v>0</v>
      </c>
      <c r="H920" s="32">
        <v>4572414</v>
      </c>
      <c r="I920" s="15" t="s">
        <v>204</v>
      </c>
    </row>
    <row r="921" spans="1:9" x14ac:dyDescent="0.2">
      <c r="A921" t="s">
        <v>1</v>
      </c>
      <c r="B921" t="s">
        <v>149</v>
      </c>
      <c r="C921" s="15" t="s">
        <v>155</v>
      </c>
      <c r="D921" s="32">
        <v>15953.949999999995</v>
      </c>
      <c r="E921" s="32">
        <v>838.42469999999992</v>
      </c>
      <c r="F921" s="32">
        <v>6795756.4873999991</v>
      </c>
      <c r="G921" s="32">
        <v>0</v>
      </c>
      <c r="H921" s="32">
        <v>7030721</v>
      </c>
      <c r="I921" s="15" t="s">
        <v>204</v>
      </c>
    </row>
    <row r="922" spans="1:9" x14ac:dyDescent="0.2">
      <c r="A922" t="s">
        <v>57</v>
      </c>
      <c r="B922" t="s">
        <v>149</v>
      </c>
      <c r="C922" s="15" t="s">
        <v>155</v>
      </c>
      <c r="D922" s="32">
        <v>80.75</v>
      </c>
      <c r="E922" s="32">
        <v>0</v>
      </c>
      <c r="F922" s="32">
        <v>0</v>
      </c>
      <c r="G922" s="32">
        <v>0</v>
      </c>
      <c r="H922" s="32">
        <v>30500</v>
      </c>
      <c r="I922" s="15" t="s">
        <v>204</v>
      </c>
    </row>
    <row r="923" spans="1:9" x14ac:dyDescent="0.2">
      <c r="A923" t="s">
        <v>28</v>
      </c>
      <c r="B923" t="s">
        <v>149</v>
      </c>
      <c r="C923" s="15" t="s">
        <v>155</v>
      </c>
      <c r="D923" s="32">
        <v>560.83333333333326</v>
      </c>
      <c r="E923" s="32">
        <v>0</v>
      </c>
      <c r="F923" s="32">
        <v>0</v>
      </c>
      <c r="G923" s="32">
        <v>0</v>
      </c>
      <c r="H923" s="32">
        <v>348476</v>
      </c>
      <c r="I923" s="15" t="s">
        <v>204</v>
      </c>
    </row>
    <row r="924" spans="1:9" x14ac:dyDescent="0.2">
      <c r="A924" t="s">
        <v>3</v>
      </c>
      <c r="B924" t="s">
        <v>149</v>
      </c>
      <c r="C924" s="15" t="s">
        <v>155</v>
      </c>
      <c r="D924" s="32">
        <v>10106.983333333341</v>
      </c>
      <c r="E924" s="32">
        <v>0</v>
      </c>
      <c r="F924" s="32">
        <v>6590143.1999999834</v>
      </c>
      <c r="G924" s="32">
        <v>0</v>
      </c>
      <c r="H924" s="32">
        <v>6602877</v>
      </c>
      <c r="I924" s="15" t="s">
        <v>204</v>
      </c>
    </row>
    <row r="925" spans="1:9" x14ac:dyDescent="0.2">
      <c r="A925" t="s">
        <v>6</v>
      </c>
      <c r="B925" t="s">
        <v>149</v>
      </c>
      <c r="C925" s="15" t="s">
        <v>155</v>
      </c>
      <c r="D925" s="32">
        <v>1196.1666666666665</v>
      </c>
      <c r="E925" s="32">
        <v>0</v>
      </c>
      <c r="F925" s="32">
        <v>0</v>
      </c>
      <c r="G925" s="32">
        <v>0</v>
      </c>
      <c r="H925" s="32">
        <v>738531</v>
      </c>
      <c r="I925" s="15" t="s">
        <v>204</v>
      </c>
    </row>
    <row r="926" spans="1:9" x14ac:dyDescent="0.2">
      <c r="A926" t="s">
        <v>29</v>
      </c>
      <c r="B926" t="s">
        <v>149</v>
      </c>
      <c r="C926" s="15" t="s">
        <v>155</v>
      </c>
      <c r="D926" s="32">
        <v>42.8</v>
      </c>
      <c r="E926" s="32">
        <v>0</v>
      </c>
      <c r="F926" s="32">
        <v>0</v>
      </c>
      <c r="G926" s="32">
        <v>0</v>
      </c>
      <c r="H926" s="32">
        <v>12420</v>
      </c>
      <c r="I926" s="15" t="s">
        <v>204</v>
      </c>
    </row>
    <row r="927" spans="1:9" x14ac:dyDescent="0.2">
      <c r="A927" t="s">
        <v>103</v>
      </c>
      <c r="B927" t="s">
        <v>149</v>
      </c>
      <c r="C927" s="15" t="s">
        <v>155</v>
      </c>
      <c r="D927" s="32">
        <v>1658.0333333333335</v>
      </c>
      <c r="E927" s="32">
        <v>0</v>
      </c>
      <c r="F927" s="32">
        <v>509566</v>
      </c>
      <c r="G927" s="32">
        <v>0</v>
      </c>
      <c r="H927" s="32">
        <v>714126</v>
      </c>
      <c r="I927" s="15" t="s">
        <v>204</v>
      </c>
    </row>
    <row r="928" spans="1:9" x14ac:dyDescent="0.2">
      <c r="A928" t="s">
        <v>5</v>
      </c>
      <c r="B928" t="s">
        <v>149</v>
      </c>
      <c r="C928" s="15" t="s">
        <v>155</v>
      </c>
      <c r="D928" s="32">
        <v>1576.5166666666689</v>
      </c>
      <c r="E928" s="32">
        <v>0</v>
      </c>
      <c r="F928" s="32">
        <v>12908420</v>
      </c>
      <c r="G928" s="32">
        <v>0</v>
      </c>
      <c r="H928" s="32">
        <v>3178756</v>
      </c>
      <c r="I928" s="15" t="s">
        <v>204</v>
      </c>
    </row>
    <row r="929" spans="1:9" x14ac:dyDescent="0.2">
      <c r="A929" t="s">
        <v>50</v>
      </c>
      <c r="B929" t="s">
        <v>149</v>
      </c>
      <c r="C929" s="15" t="s">
        <v>155</v>
      </c>
      <c r="D929" s="32">
        <v>13153.150000000016</v>
      </c>
      <c r="E929" s="32">
        <v>0</v>
      </c>
      <c r="F929" s="32">
        <v>0</v>
      </c>
      <c r="G929" s="32">
        <v>0</v>
      </c>
      <c r="H929" s="32">
        <v>9390923</v>
      </c>
      <c r="I929" s="15" t="s">
        <v>204</v>
      </c>
    </row>
    <row r="930" spans="1:9" x14ac:dyDescent="0.2">
      <c r="A930" t="s">
        <v>61</v>
      </c>
      <c r="B930" t="s">
        <v>150</v>
      </c>
      <c r="C930" t="s">
        <v>156</v>
      </c>
      <c r="D930" s="32">
        <v>118.13333333333333</v>
      </c>
      <c r="E930" s="32">
        <v>0</v>
      </c>
      <c r="F930" s="32">
        <v>0</v>
      </c>
      <c r="G930" s="32">
        <v>0</v>
      </c>
      <c r="H930" s="32">
        <v>184120</v>
      </c>
      <c r="I930" s="15" t="s">
        <v>204</v>
      </c>
    </row>
    <row r="931" spans="1:9" x14ac:dyDescent="0.2">
      <c r="A931" t="s">
        <v>203</v>
      </c>
      <c r="B931" t="s">
        <v>152</v>
      </c>
      <c r="C931" t="s">
        <v>156</v>
      </c>
      <c r="D931" s="32">
        <v>266.66666666666674</v>
      </c>
      <c r="E931" s="32">
        <v>0</v>
      </c>
      <c r="F931" s="32">
        <v>115541</v>
      </c>
      <c r="G931" s="32">
        <v>0</v>
      </c>
      <c r="H931" s="32">
        <v>219840</v>
      </c>
      <c r="I931" s="15" t="s">
        <v>204</v>
      </c>
    </row>
    <row r="932" spans="1:9" x14ac:dyDescent="0.2">
      <c r="A932" t="s">
        <v>4</v>
      </c>
      <c r="B932" t="s">
        <v>149</v>
      </c>
      <c r="C932" t="s">
        <v>156</v>
      </c>
      <c r="D932" s="32">
        <v>86.666666666666671</v>
      </c>
      <c r="E932" s="32">
        <v>0</v>
      </c>
      <c r="F932" s="32">
        <v>18169</v>
      </c>
      <c r="G932" s="32">
        <v>0</v>
      </c>
      <c r="H932" s="32">
        <v>39052</v>
      </c>
      <c r="I932" s="15" t="s">
        <v>204</v>
      </c>
    </row>
    <row r="933" spans="1:9" x14ac:dyDescent="0.2">
      <c r="A933" t="s">
        <v>2</v>
      </c>
      <c r="B933" t="s">
        <v>149</v>
      </c>
      <c r="C933" t="s">
        <v>156</v>
      </c>
      <c r="D933" s="32">
        <v>17715.966666666634</v>
      </c>
      <c r="E933" s="32">
        <v>52011</v>
      </c>
      <c r="F933" s="32">
        <v>7864512</v>
      </c>
      <c r="G933" s="32">
        <v>0</v>
      </c>
      <c r="H933" s="32">
        <v>12048534</v>
      </c>
      <c r="I933" s="15" t="s">
        <v>204</v>
      </c>
    </row>
    <row r="934" spans="1:9" x14ac:dyDescent="0.2">
      <c r="A934" t="s">
        <v>1</v>
      </c>
      <c r="B934" t="s">
        <v>149</v>
      </c>
      <c r="C934" t="s">
        <v>156</v>
      </c>
      <c r="D934" s="32">
        <v>2849.4666666666681</v>
      </c>
      <c r="E934" s="32">
        <v>0</v>
      </c>
      <c r="F934" s="32">
        <v>1478323.5479000006</v>
      </c>
      <c r="G934" s="32">
        <v>0</v>
      </c>
      <c r="H934" s="32">
        <v>1483316</v>
      </c>
      <c r="I934" s="15" t="s">
        <v>204</v>
      </c>
    </row>
    <row r="935" spans="1:9" x14ac:dyDescent="0.2">
      <c r="A935" t="s">
        <v>76</v>
      </c>
      <c r="B935" t="s">
        <v>152</v>
      </c>
      <c r="C935" t="s">
        <v>156</v>
      </c>
      <c r="D935" s="32">
        <v>459.8333333333332</v>
      </c>
      <c r="E935" s="32">
        <v>0</v>
      </c>
      <c r="F935" s="32">
        <v>188122</v>
      </c>
      <c r="G935" s="32">
        <v>446</v>
      </c>
      <c r="H935" s="32">
        <v>336660</v>
      </c>
      <c r="I935" s="15" t="s">
        <v>204</v>
      </c>
    </row>
    <row r="936" spans="1:9" x14ac:dyDescent="0.2">
      <c r="A936" t="s">
        <v>57</v>
      </c>
      <c r="B936" t="s">
        <v>149</v>
      </c>
      <c r="C936" t="s">
        <v>156</v>
      </c>
      <c r="D936" s="32">
        <v>453.66666666666663</v>
      </c>
      <c r="E936" s="32">
        <v>0</v>
      </c>
      <c r="F936" s="32">
        <v>0</v>
      </c>
      <c r="G936" s="32">
        <v>0</v>
      </c>
      <c r="H936" s="32">
        <v>314144</v>
      </c>
      <c r="I936" s="15" t="s">
        <v>204</v>
      </c>
    </row>
    <row r="937" spans="1:9" x14ac:dyDescent="0.2">
      <c r="A937" t="s">
        <v>67</v>
      </c>
      <c r="B937" t="s">
        <v>153</v>
      </c>
      <c r="C937" t="s">
        <v>156</v>
      </c>
      <c r="D937" s="32">
        <v>256.16666666666663</v>
      </c>
      <c r="E937" s="32">
        <v>0</v>
      </c>
      <c r="F937" s="32">
        <v>131364</v>
      </c>
      <c r="G937" s="32">
        <v>0</v>
      </c>
      <c r="H937" s="32">
        <v>223442</v>
      </c>
      <c r="I937" s="15" t="s">
        <v>204</v>
      </c>
    </row>
    <row r="938" spans="1:9" x14ac:dyDescent="0.2">
      <c r="A938" t="s">
        <v>12</v>
      </c>
      <c r="B938" t="s">
        <v>151</v>
      </c>
      <c r="C938" t="s">
        <v>156</v>
      </c>
      <c r="D938" s="32">
        <v>2041.5333333333408</v>
      </c>
      <c r="E938" s="32">
        <v>25653</v>
      </c>
      <c r="F938" s="32">
        <v>1287094</v>
      </c>
      <c r="G938" s="32">
        <v>0</v>
      </c>
      <c r="H938" s="32">
        <v>1424867</v>
      </c>
      <c r="I938" s="15" t="s">
        <v>204</v>
      </c>
    </row>
    <row r="939" spans="1:9" x14ac:dyDescent="0.2">
      <c r="A939" t="s">
        <v>39</v>
      </c>
      <c r="B939" t="s">
        <v>153</v>
      </c>
      <c r="C939" t="s">
        <v>156</v>
      </c>
      <c r="D939" s="32">
        <v>192.4</v>
      </c>
      <c r="E939" s="32">
        <v>0</v>
      </c>
      <c r="F939" s="32">
        <v>72035</v>
      </c>
      <c r="G939" s="32">
        <v>0</v>
      </c>
      <c r="H939" s="32">
        <v>191352</v>
      </c>
      <c r="I939" s="15" t="s">
        <v>204</v>
      </c>
    </row>
    <row r="940" spans="1:9" x14ac:dyDescent="0.2">
      <c r="A940" t="s">
        <v>65</v>
      </c>
      <c r="B940" t="s">
        <v>153</v>
      </c>
      <c r="C940" t="s">
        <v>156</v>
      </c>
      <c r="D940" s="32">
        <v>862</v>
      </c>
      <c r="E940" s="32">
        <v>17641</v>
      </c>
      <c r="F940" s="32">
        <v>450968</v>
      </c>
      <c r="G940" s="32">
        <v>0</v>
      </c>
      <c r="H940" s="32">
        <v>787855</v>
      </c>
      <c r="I940" s="15" t="s">
        <v>204</v>
      </c>
    </row>
    <row r="941" spans="1:9" x14ac:dyDescent="0.2">
      <c r="A941" t="s">
        <v>68</v>
      </c>
      <c r="B941" t="s">
        <v>151</v>
      </c>
      <c r="C941" t="s">
        <v>156</v>
      </c>
      <c r="D941" s="32">
        <v>889.54999999999961</v>
      </c>
      <c r="E941" s="32">
        <v>0</v>
      </c>
      <c r="F941" s="32">
        <v>896426</v>
      </c>
      <c r="G941" s="32">
        <v>0</v>
      </c>
      <c r="H941" s="32">
        <v>743220</v>
      </c>
      <c r="I941" s="15" t="s">
        <v>204</v>
      </c>
    </row>
    <row r="942" spans="1:9" x14ac:dyDescent="0.2">
      <c r="A942" t="s">
        <v>10</v>
      </c>
      <c r="B942" t="s">
        <v>150</v>
      </c>
      <c r="C942" t="s">
        <v>156</v>
      </c>
      <c r="D942" s="32">
        <v>6000.5000000000127</v>
      </c>
      <c r="E942" s="32">
        <v>0</v>
      </c>
      <c r="F942" s="32">
        <v>29688796</v>
      </c>
      <c r="G942" s="32">
        <v>0</v>
      </c>
      <c r="H942" s="32">
        <v>2460050</v>
      </c>
      <c r="I942" s="15" t="s">
        <v>204</v>
      </c>
    </row>
    <row r="943" spans="1:9" x14ac:dyDescent="0.2">
      <c r="A943" t="s">
        <v>8</v>
      </c>
      <c r="B943" t="s">
        <v>150</v>
      </c>
      <c r="C943" t="s">
        <v>156</v>
      </c>
      <c r="D943" s="32">
        <v>7051.5333333334411</v>
      </c>
      <c r="E943" s="32">
        <v>130180</v>
      </c>
      <c r="F943" s="32">
        <v>3666943</v>
      </c>
      <c r="G943" s="32">
        <v>0</v>
      </c>
      <c r="H943" s="32">
        <v>4243058</v>
      </c>
      <c r="I943" s="15" t="s">
        <v>204</v>
      </c>
    </row>
    <row r="944" spans="1:9" x14ac:dyDescent="0.2">
      <c r="A944" t="s">
        <v>17</v>
      </c>
      <c r="B944" t="s">
        <v>150</v>
      </c>
      <c r="C944" t="s">
        <v>156</v>
      </c>
      <c r="D944" s="32">
        <v>113.83333333333331</v>
      </c>
      <c r="E944" s="32">
        <v>0</v>
      </c>
      <c r="F944" s="32">
        <v>0</v>
      </c>
      <c r="G944" s="32">
        <v>0</v>
      </c>
      <c r="H944" s="32">
        <v>79828</v>
      </c>
      <c r="I944" s="15" t="s">
        <v>204</v>
      </c>
    </row>
    <row r="945" spans="1:9" x14ac:dyDescent="0.2">
      <c r="A945" t="s">
        <v>52</v>
      </c>
      <c r="B945" t="s">
        <v>150</v>
      </c>
      <c r="C945" t="s">
        <v>156</v>
      </c>
      <c r="D945" s="32">
        <v>104</v>
      </c>
      <c r="E945" s="32">
        <v>0</v>
      </c>
      <c r="F945" s="32">
        <v>0</v>
      </c>
      <c r="G945" s="32">
        <v>0</v>
      </c>
      <c r="H945" s="32">
        <v>64786</v>
      </c>
      <c r="I945" s="15" t="s">
        <v>204</v>
      </c>
    </row>
    <row r="946" spans="1:9" x14ac:dyDescent="0.2">
      <c r="A946" t="s">
        <v>34</v>
      </c>
      <c r="B946" t="s">
        <v>152</v>
      </c>
      <c r="C946" t="s">
        <v>156</v>
      </c>
      <c r="D946" s="32">
        <v>1205.0833333333337</v>
      </c>
      <c r="E946" s="32">
        <v>1441</v>
      </c>
      <c r="F946" s="32">
        <v>677370</v>
      </c>
      <c r="G946" s="32">
        <v>0</v>
      </c>
      <c r="H946" s="32">
        <v>865958</v>
      </c>
      <c r="I946" s="15" t="s">
        <v>204</v>
      </c>
    </row>
    <row r="947" spans="1:9" x14ac:dyDescent="0.2">
      <c r="A947" t="s">
        <v>56</v>
      </c>
      <c r="B947" t="s">
        <v>153</v>
      </c>
      <c r="C947" t="s">
        <v>156</v>
      </c>
      <c r="D947" s="32">
        <v>140.80000000000001</v>
      </c>
      <c r="E947" s="32">
        <v>0</v>
      </c>
      <c r="F947" s="32">
        <v>37466</v>
      </c>
      <c r="G947" s="32">
        <v>0</v>
      </c>
      <c r="H947" s="32">
        <v>123964</v>
      </c>
      <c r="I947" s="15" t="s">
        <v>204</v>
      </c>
    </row>
    <row r="948" spans="1:9" x14ac:dyDescent="0.2">
      <c r="A948" t="s">
        <v>20</v>
      </c>
      <c r="B948" t="s">
        <v>153</v>
      </c>
      <c r="C948" t="s">
        <v>156</v>
      </c>
      <c r="D948" s="32">
        <v>660</v>
      </c>
      <c r="E948" s="32">
        <v>0</v>
      </c>
      <c r="F948" s="32">
        <v>305574</v>
      </c>
      <c r="G948" s="32">
        <v>0</v>
      </c>
      <c r="H948" s="32">
        <v>564368</v>
      </c>
      <c r="I948" s="15" t="s">
        <v>204</v>
      </c>
    </row>
    <row r="949" spans="1:9" x14ac:dyDescent="0.2">
      <c r="A949" t="s">
        <v>18</v>
      </c>
      <c r="B949" t="s">
        <v>153</v>
      </c>
      <c r="C949" t="s">
        <v>156</v>
      </c>
      <c r="D949" s="32">
        <v>641.66666666666652</v>
      </c>
      <c r="E949" s="32">
        <v>0</v>
      </c>
      <c r="F949" s="32">
        <v>0</v>
      </c>
      <c r="G949" s="32">
        <v>0</v>
      </c>
      <c r="H949" s="32">
        <v>522018</v>
      </c>
      <c r="I949" s="15" t="s">
        <v>204</v>
      </c>
    </row>
    <row r="950" spans="1:9" x14ac:dyDescent="0.2">
      <c r="A950" t="s">
        <v>102</v>
      </c>
      <c r="B950" t="s">
        <v>154</v>
      </c>
      <c r="C950" t="s">
        <v>156</v>
      </c>
      <c r="D950" s="32">
        <v>3569.0500000000029</v>
      </c>
      <c r="E950" s="32">
        <v>0</v>
      </c>
      <c r="F950" s="32">
        <v>0</v>
      </c>
      <c r="G950" s="32">
        <v>0</v>
      </c>
      <c r="H950" s="32">
        <v>1174068</v>
      </c>
      <c r="I950" s="15" t="s">
        <v>204</v>
      </c>
    </row>
    <row r="951" spans="1:9" x14ac:dyDescent="0.2">
      <c r="A951" t="s">
        <v>7</v>
      </c>
      <c r="B951" t="s">
        <v>150</v>
      </c>
      <c r="C951" t="s">
        <v>156</v>
      </c>
      <c r="D951" s="32">
        <v>2596.1833333333338</v>
      </c>
      <c r="E951" s="32">
        <v>0</v>
      </c>
      <c r="F951" s="32">
        <v>0</v>
      </c>
      <c r="G951" s="32">
        <v>0</v>
      </c>
      <c r="H951" s="32">
        <v>1721205</v>
      </c>
      <c r="I951" s="15" t="s">
        <v>204</v>
      </c>
    </row>
    <row r="952" spans="1:9" x14ac:dyDescent="0.2">
      <c r="A952" t="s">
        <v>31</v>
      </c>
      <c r="B952" t="s">
        <v>152</v>
      </c>
      <c r="C952" t="s">
        <v>156</v>
      </c>
      <c r="D952" s="32">
        <v>2576.1666666666915</v>
      </c>
      <c r="E952" s="32">
        <v>0</v>
      </c>
      <c r="F952" s="32">
        <v>1591181</v>
      </c>
      <c r="G952" s="32">
        <v>6355</v>
      </c>
      <c r="H952" s="32">
        <v>1704646</v>
      </c>
      <c r="I952" s="15" t="s">
        <v>204</v>
      </c>
    </row>
    <row r="953" spans="1:9" x14ac:dyDescent="0.2">
      <c r="A953" t="s">
        <v>33</v>
      </c>
      <c r="B953" t="s">
        <v>152</v>
      </c>
      <c r="C953" t="s">
        <v>156</v>
      </c>
      <c r="D953" s="32">
        <v>213.66666666666669</v>
      </c>
      <c r="E953" s="32">
        <v>69</v>
      </c>
      <c r="F953" s="32">
        <v>305958</v>
      </c>
      <c r="G953" s="32">
        <v>60436</v>
      </c>
      <c r="H953" s="32">
        <v>138956</v>
      </c>
      <c r="I953" s="15" t="s">
        <v>204</v>
      </c>
    </row>
    <row r="954" spans="1:9" x14ac:dyDescent="0.2">
      <c r="A954" t="s">
        <v>9</v>
      </c>
      <c r="B954" t="s">
        <v>150</v>
      </c>
      <c r="C954" t="s">
        <v>156</v>
      </c>
      <c r="D954" s="32">
        <v>6893.6333333333414</v>
      </c>
      <c r="E954" s="32">
        <v>30183</v>
      </c>
      <c r="F954" s="32">
        <v>3826466</v>
      </c>
      <c r="G954" s="32">
        <v>0</v>
      </c>
      <c r="H954" s="32">
        <v>4426986</v>
      </c>
      <c r="I954" s="15" t="s">
        <v>204</v>
      </c>
    </row>
    <row r="955" spans="1:9" x14ac:dyDescent="0.2">
      <c r="A955" t="s">
        <v>63</v>
      </c>
      <c r="B955" t="s">
        <v>152</v>
      </c>
      <c r="C955" t="s">
        <v>156</v>
      </c>
      <c r="D955" s="32">
        <v>69.316666666666663</v>
      </c>
      <c r="E955" s="32">
        <v>0</v>
      </c>
      <c r="F955" s="32">
        <v>0</v>
      </c>
      <c r="G955" s="32">
        <v>0</v>
      </c>
      <c r="H955" s="32">
        <v>35904</v>
      </c>
      <c r="I955" s="15" t="s">
        <v>204</v>
      </c>
    </row>
    <row r="956" spans="1:9" x14ac:dyDescent="0.2">
      <c r="A956" t="s">
        <v>111</v>
      </c>
      <c r="B956" t="s">
        <v>154</v>
      </c>
      <c r="C956" t="s">
        <v>156</v>
      </c>
      <c r="D956" s="32">
        <v>606.00000000000011</v>
      </c>
      <c r="E956" s="32">
        <v>0</v>
      </c>
      <c r="F956" s="32">
        <v>0</v>
      </c>
      <c r="G956" s="32">
        <v>0</v>
      </c>
      <c r="H956" s="32">
        <v>476174</v>
      </c>
      <c r="I956" s="15" t="s">
        <v>204</v>
      </c>
    </row>
    <row r="957" spans="1:9" x14ac:dyDescent="0.2">
      <c r="A957" t="s">
        <v>172</v>
      </c>
      <c r="B957" t="s">
        <v>150</v>
      </c>
      <c r="C957" t="s">
        <v>156</v>
      </c>
      <c r="D957" s="32">
        <v>1055.3166666666691</v>
      </c>
      <c r="E957" s="32">
        <v>11</v>
      </c>
      <c r="F957" s="32">
        <v>268446</v>
      </c>
      <c r="G957" s="32">
        <v>0</v>
      </c>
      <c r="H957" s="32">
        <v>567520</v>
      </c>
      <c r="I957" s="15" t="s">
        <v>204</v>
      </c>
    </row>
    <row r="958" spans="1:9" x14ac:dyDescent="0.2">
      <c r="A958" t="s">
        <v>28</v>
      </c>
      <c r="B958" t="s">
        <v>149</v>
      </c>
      <c r="C958" t="s">
        <v>156</v>
      </c>
      <c r="D958" s="32">
        <v>78.500000000000014</v>
      </c>
      <c r="E958" s="32">
        <v>0</v>
      </c>
      <c r="F958" s="32">
        <v>0</v>
      </c>
      <c r="G958" s="32">
        <v>0</v>
      </c>
      <c r="H958" s="32">
        <v>39907</v>
      </c>
      <c r="I958" s="15" t="s">
        <v>204</v>
      </c>
    </row>
    <row r="959" spans="1:9" x14ac:dyDescent="0.2">
      <c r="A959" t="s">
        <v>106</v>
      </c>
      <c r="B959" t="s">
        <v>153</v>
      </c>
      <c r="C959" t="s">
        <v>156</v>
      </c>
      <c r="D959" s="32">
        <v>136.56666666666666</v>
      </c>
      <c r="E959" s="32">
        <v>0</v>
      </c>
      <c r="F959" s="32">
        <v>19987</v>
      </c>
      <c r="G959" s="32">
        <v>0</v>
      </c>
      <c r="H959" s="32">
        <v>127568</v>
      </c>
      <c r="I959" s="15" t="s">
        <v>204</v>
      </c>
    </row>
    <row r="960" spans="1:9" x14ac:dyDescent="0.2">
      <c r="A960" t="s">
        <v>14</v>
      </c>
      <c r="B960" t="s">
        <v>150</v>
      </c>
      <c r="C960" t="s">
        <v>156</v>
      </c>
      <c r="D960" s="32">
        <v>334</v>
      </c>
      <c r="E960" s="32">
        <v>0</v>
      </c>
      <c r="F960" s="32">
        <v>0</v>
      </c>
      <c r="G960" s="32">
        <v>0</v>
      </c>
      <c r="H960" s="32">
        <v>263595</v>
      </c>
      <c r="I960" s="15" t="s">
        <v>204</v>
      </c>
    </row>
    <row r="961" spans="1:9" x14ac:dyDescent="0.2">
      <c r="A961" t="s">
        <v>13</v>
      </c>
      <c r="B961" t="s">
        <v>150</v>
      </c>
      <c r="C961" t="s">
        <v>156</v>
      </c>
      <c r="D961" s="32">
        <v>1179.2500000000009</v>
      </c>
      <c r="E961" s="32">
        <v>0</v>
      </c>
      <c r="F961" s="32">
        <v>1072520</v>
      </c>
      <c r="G961" s="32">
        <v>0</v>
      </c>
      <c r="H961" s="32">
        <v>859908</v>
      </c>
      <c r="I961" s="15" t="s">
        <v>204</v>
      </c>
    </row>
    <row r="962" spans="1:9" x14ac:dyDescent="0.2">
      <c r="A962" t="s">
        <v>64</v>
      </c>
      <c r="B962" t="s">
        <v>153</v>
      </c>
      <c r="C962" t="s">
        <v>156</v>
      </c>
      <c r="D962" s="32">
        <v>1271</v>
      </c>
      <c r="E962" s="32">
        <v>14315</v>
      </c>
      <c r="F962" s="32">
        <v>647609</v>
      </c>
      <c r="G962" s="32">
        <v>9068</v>
      </c>
      <c r="H962" s="32">
        <v>1098680</v>
      </c>
      <c r="I962" s="15" t="s">
        <v>204</v>
      </c>
    </row>
    <row r="963" spans="1:9" x14ac:dyDescent="0.2">
      <c r="A963" t="s">
        <v>3</v>
      </c>
      <c r="B963" t="s">
        <v>149</v>
      </c>
      <c r="C963" t="s">
        <v>156</v>
      </c>
      <c r="D963" s="32">
        <v>3421.9499999999989</v>
      </c>
      <c r="E963" s="32">
        <v>0</v>
      </c>
      <c r="F963" s="32">
        <v>1173329.8000000012</v>
      </c>
      <c r="G963" s="32">
        <v>0</v>
      </c>
      <c r="H963" s="32">
        <v>2485127</v>
      </c>
      <c r="I963" s="15" t="s">
        <v>204</v>
      </c>
    </row>
    <row r="964" spans="1:9" x14ac:dyDescent="0.2">
      <c r="A964" t="s">
        <v>58</v>
      </c>
      <c r="B964" t="s">
        <v>150</v>
      </c>
      <c r="C964" t="s">
        <v>156</v>
      </c>
      <c r="D964" s="32">
        <v>1285.2333333333333</v>
      </c>
      <c r="E964" s="32">
        <v>0</v>
      </c>
      <c r="F964" s="32">
        <v>624029</v>
      </c>
      <c r="G964" s="32">
        <v>0</v>
      </c>
      <c r="H964" s="32">
        <v>928576</v>
      </c>
      <c r="I964" s="15" t="s">
        <v>204</v>
      </c>
    </row>
    <row r="965" spans="1:9" x14ac:dyDescent="0.2">
      <c r="A965" t="s">
        <v>35</v>
      </c>
      <c r="B965" t="s">
        <v>153</v>
      </c>
      <c r="C965" t="s">
        <v>156</v>
      </c>
      <c r="D965" s="32">
        <v>700</v>
      </c>
      <c r="E965" s="32">
        <v>71417</v>
      </c>
      <c r="F965" s="32">
        <v>329825</v>
      </c>
      <c r="G965" s="32">
        <v>0</v>
      </c>
      <c r="H965" s="32">
        <v>645400</v>
      </c>
      <c r="I965" s="15" t="s">
        <v>204</v>
      </c>
    </row>
    <row r="966" spans="1:9" x14ac:dyDescent="0.2">
      <c r="A966" t="s">
        <v>32</v>
      </c>
      <c r="B966" t="s">
        <v>152</v>
      </c>
      <c r="C966" t="s">
        <v>156</v>
      </c>
      <c r="D966" s="32">
        <v>124</v>
      </c>
      <c r="E966" s="32">
        <v>0</v>
      </c>
      <c r="F966" s="32">
        <v>97605</v>
      </c>
      <c r="G966" s="32">
        <v>0</v>
      </c>
      <c r="H966" s="32">
        <v>79065</v>
      </c>
      <c r="I966" s="15" t="s">
        <v>204</v>
      </c>
    </row>
    <row r="967" spans="1:9" x14ac:dyDescent="0.2">
      <c r="A967" t="s">
        <v>62</v>
      </c>
      <c r="B967" t="s">
        <v>152</v>
      </c>
      <c r="C967" t="s">
        <v>156</v>
      </c>
      <c r="D967" s="32">
        <v>595</v>
      </c>
      <c r="E967" s="32">
        <v>0</v>
      </c>
      <c r="F967" s="32">
        <v>272905</v>
      </c>
      <c r="G967" s="32">
        <v>91</v>
      </c>
      <c r="H967" s="32">
        <v>457614</v>
      </c>
      <c r="I967" s="15" t="s">
        <v>204</v>
      </c>
    </row>
    <row r="968" spans="1:9" x14ac:dyDescent="0.2">
      <c r="A968" t="s">
        <v>112</v>
      </c>
      <c r="B968" t="s">
        <v>152</v>
      </c>
      <c r="C968" t="s">
        <v>156</v>
      </c>
      <c r="D968" s="32">
        <v>180</v>
      </c>
      <c r="E968" s="32">
        <v>0</v>
      </c>
      <c r="F968" s="32">
        <v>111016</v>
      </c>
      <c r="G968" s="32">
        <v>0</v>
      </c>
      <c r="H968" s="32">
        <v>136320</v>
      </c>
      <c r="I968" s="15" t="s">
        <v>204</v>
      </c>
    </row>
    <row r="969" spans="1:9" x14ac:dyDescent="0.2">
      <c r="A969" t="s">
        <v>19</v>
      </c>
      <c r="B969" t="s">
        <v>152</v>
      </c>
      <c r="C969" t="s">
        <v>156</v>
      </c>
      <c r="D969" s="32">
        <v>869</v>
      </c>
      <c r="E969" s="32">
        <v>0</v>
      </c>
      <c r="F969" s="32">
        <v>452031</v>
      </c>
      <c r="G969" s="32">
        <v>153</v>
      </c>
      <c r="H969" s="32">
        <v>627986</v>
      </c>
      <c r="I969" s="15" t="s">
        <v>204</v>
      </c>
    </row>
    <row r="970" spans="1:9" x14ac:dyDescent="0.2">
      <c r="A970" t="s">
        <v>66</v>
      </c>
      <c r="B970" t="s">
        <v>153</v>
      </c>
      <c r="C970" t="s">
        <v>156</v>
      </c>
      <c r="D970" s="32">
        <v>980</v>
      </c>
      <c r="E970" s="32">
        <v>30047</v>
      </c>
      <c r="F970" s="32">
        <v>536300</v>
      </c>
      <c r="G970" s="32">
        <v>0</v>
      </c>
      <c r="H970" s="32">
        <v>933580</v>
      </c>
      <c r="I970" s="15" t="s">
        <v>204</v>
      </c>
    </row>
    <row r="971" spans="1:9" x14ac:dyDescent="0.2">
      <c r="A971" t="s">
        <v>99</v>
      </c>
      <c r="B971" t="s">
        <v>153</v>
      </c>
      <c r="C971" t="s">
        <v>156</v>
      </c>
      <c r="D971" s="32">
        <v>400</v>
      </c>
      <c r="E971" s="32">
        <v>0</v>
      </c>
      <c r="F971" s="32">
        <v>0</v>
      </c>
      <c r="G971" s="32">
        <v>0</v>
      </c>
      <c r="H971" s="32">
        <v>306080</v>
      </c>
      <c r="I971" s="15" t="s">
        <v>204</v>
      </c>
    </row>
    <row r="972" spans="1:9" x14ac:dyDescent="0.2">
      <c r="A972" t="s">
        <v>188</v>
      </c>
      <c r="B972" t="s">
        <v>153</v>
      </c>
      <c r="C972" t="s">
        <v>156</v>
      </c>
      <c r="D972" s="32">
        <v>40</v>
      </c>
      <c r="E972" s="32">
        <v>0</v>
      </c>
      <c r="F972" s="32">
        <v>0</v>
      </c>
      <c r="G972" s="32">
        <v>0</v>
      </c>
      <c r="H972" s="32">
        <v>23830</v>
      </c>
      <c r="I972" s="15" t="s">
        <v>204</v>
      </c>
    </row>
    <row r="973" spans="1:9" x14ac:dyDescent="0.2">
      <c r="A973" t="s">
        <v>29</v>
      </c>
      <c r="B973" t="s">
        <v>149</v>
      </c>
      <c r="C973" t="s">
        <v>156</v>
      </c>
      <c r="D973" s="32">
        <v>403.36666666666667</v>
      </c>
      <c r="E973" s="32">
        <v>0</v>
      </c>
      <c r="F973" s="32">
        <v>0</v>
      </c>
      <c r="G973" s="32">
        <v>0</v>
      </c>
      <c r="H973" s="32">
        <v>260698</v>
      </c>
      <c r="I973" s="15" t="s">
        <v>204</v>
      </c>
    </row>
    <row r="974" spans="1:9" x14ac:dyDescent="0.2">
      <c r="A974" t="s">
        <v>59</v>
      </c>
      <c r="B974" t="s">
        <v>150</v>
      </c>
      <c r="C974" t="s">
        <v>156</v>
      </c>
      <c r="D974" s="32">
        <v>1472.2999999999913</v>
      </c>
      <c r="E974" s="32">
        <v>0</v>
      </c>
      <c r="F974" s="32">
        <v>594434</v>
      </c>
      <c r="G974" s="32">
        <v>0</v>
      </c>
      <c r="H974" s="32">
        <v>814258</v>
      </c>
      <c r="I974" s="15" t="s">
        <v>204</v>
      </c>
    </row>
    <row r="975" spans="1:9" x14ac:dyDescent="0.2">
      <c r="A975" t="s">
        <v>38</v>
      </c>
      <c r="B975" t="s">
        <v>150</v>
      </c>
      <c r="C975" t="s">
        <v>156</v>
      </c>
      <c r="D975" s="32">
        <v>663.66666666666674</v>
      </c>
      <c r="E975" s="32">
        <v>0</v>
      </c>
      <c r="F975" s="32">
        <v>301679</v>
      </c>
      <c r="G975" s="32">
        <v>0</v>
      </c>
      <c r="H975" s="32">
        <v>459207</v>
      </c>
      <c r="I975" s="15" t="s">
        <v>204</v>
      </c>
    </row>
    <row r="976" spans="1:9" x14ac:dyDescent="0.2">
      <c r="A976" t="s">
        <v>48</v>
      </c>
      <c r="B976" t="s">
        <v>153</v>
      </c>
      <c r="C976" t="s">
        <v>156</v>
      </c>
      <c r="D976" s="32">
        <v>273.59999999999997</v>
      </c>
      <c r="E976" s="32">
        <v>0</v>
      </c>
      <c r="F976" s="32">
        <v>90420</v>
      </c>
      <c r="G976" s="32">
        <v>0</v>
      </c>
      <c r="H976" s="32">
        <v>210840</v>
      </c>
      <c r="I976" s="15" t="s">
        <v>204</v>
      </c>
    </row>
    <row r="977" spans="1:9" x14ac:dyDescent="0.2">
      <c r="A977" t="s">
        <v>110</v>
      </c>
      <c r="B977" t="s">
        <v>154</v>
      </c>
      <c r="C977" t="s">
        <v>156</v>
      </c>
      <c r="D977" s="32">
        <v>640.25</v>
      </c>
      <c r="E977" s="32">
        <v>0</v>
      </c>
      <c r="F977" s="32">
        <v>0</v>
      </c>
      <c r="G977" s="32">
        <v>0</v>
      </c>
      <c r="H977" s="32">
        <v>551304</v>
      </c>
      <c r="I977" s="15" t="s">
        <v>204</v>
      </c>
    </row>
    <row r="978" spans="1:9" x14ac:dyDescent="0.2">
      <c r="A978" t="s">
        <v>88</v>
      </c>
      <c r="B978" t="s">
        <v>150</v>
      </c>
      <c r="C978" t="s">
        <v>156</v>
      </c>
      <c r="D978" s="32">
        <v>2712.6333333333373</v>
      </c>
      <c r="E978" s="32">
        <v>0</v>
      </c>
      <c r="F978" s="32">
        <v>0</v>
      </c>
      <c r="G978" s="32">
        <v>0</v>
      </c>
      <c r="H978" s="32">
        <v>1859114</v>
      </c>
      <c r="I978" s="15" t="s">
        <v>204</v>
      </c>
    </row>
    <row r="979" spans="1:9" x14ac:dyDescent="0.2">
      <c r="A979" t="s">
        <v>109</v>
      </c>
      <c r="B979" t="s">
        <v>150</v>
      </c>
      <c r="C979" t="s">
        <v>156</v>
      </c>
      <c r="D979" s="32">
        <v>3339.4999999999986</v>
      </c>
      <c r="E979" s="32">
        <v>0</v>
      </c>
      <c r="F979" s="32">
        <v>2037870</v>
      </c>
      <c r="G979" s="32">
        <v>0</v>
      </c>
      <c r="H979" s="32">
        <v>2120971</v>
      </c>
      <c r="I979" s="15" t="s">
        <v>204</v>
      </c>
    </row>
    <row r="980" spans="1:9" x14ac:dyDescent="0.2">
      <c r="A980" t="s">
        <v>16</v>
      </c>
      <c r="B980" t="s">
        <v>150</v>
      </c>
      <c r="C980" t="s">
        <v>156</v>
      </c>
      <c r="D980" s="32">
        <v>557.60000000000014</v>
      </c>
      <c r="E980" s="32">
        <v>0</v>
      </c>
      <c r="F980" s="32">
        <v>323882.83167999989</v>
      </c>
      <c r="G980" s="32">
        <v>0</v>
      </c>
      <c r="H980" s="32">
        <v>327126</v>
      </c>
      <c r="I980" s="15" t="s">
        <v>204</v>
      </c>
    </row>
    <row r="981" spans="1:9" x14ac:dyDescent="0.2">
      <c r="A981" t="s">
        <v>69</v>
      </c>
      <c r="B981" t="s">
        <v>151</v>
      </c>
      <c r="C981" t="s">
        <v>156</v>
      </c>
      <c r="D981" s="32">
        <v>1687.0333333333313</v>
      </c>
      <c r="E981" s="32">
        <v>0</v>
      </c>
      <c r="F981" s="32">
        <v>1085143</v>
      </c>
      <c r="G981" s="32">
        <v>0</v>
      </c>
      <c r="H981" s="32">
        <v>1423525</v>
      </c>
      <c r="I981" s="15" t="s">
        <v>204</v>
      </c>
    </row>
    <row r="982" spans="1:9" x14ac:dyDescent="0.2">
      <c r="A982" t="s">
        <v>36</v>
      </c>
      <c r="B982" t="s">
        <v>152</v>
      </c>
      <c r="C982" t="s">
        <v>156</v>
      </c>
      <c r="D982" s="32">
        <v>246</v>
      </c>
      <c r="E982" s="32">
        <v>5769</v>
      </c>
      <c r="F982" s="32">
        <v>170684</v>
      </c>
      <c r="G982" s="32">
        <v>0</v>
      </c>
      <c r="H982" s="32">
        <v>154734</v>
      </c>
      <c r="I982" s="15" t="s">
        <v>204</v>
      </c>
    </row>
    <row r="983" spans="1:9" x14ac:dyDescent="0.2">
      <c r="A983" t="s">
        <v>51</v>
      </c>
      <c r="B983" t="s">
        <v>152</v>
      </c>
      <c r="C983" t="s">
        <v>156</v>
      </c>
      <c r="D983" s="32">
        <v>422</v>
      </c>
      <c r="E983" s="32">
        <v>1223</v>
      </c>
      <c r="F983" s="32">
        <v>158514</v>
      </c>
      <c r="G983" s="32">
        <v>0</v>
      </c>
      <c r="H983" s="32">
        <v>368974</v>
      </c>
      <c r="I983" s="15" t="s">
        <v>204</v>
      </c>
    </row>
    <row r="984" spans="1:9" x14ac:dyDescent="0.2">
      <c r="A984" t="s">
        <v>79</v>
      </c>
      <c r="B984" t="s">
        <v>152</v>
      </c>
      <c r="C984" t="s">
        <v>156</v>
      </c>
      <c r="D984" s="32">
        <v>817</v>
      </c>
      <c r="E984" s="32">
        <v>0</v>
      </c>
      <c r="F984" s="32">
        <v>293181</v>
      </c>
      <c r="G984" s="32">
        <v>35</v>
      </c>
      <c r="H984" s="32">
        <v>616668</v>
      </c>
      <c r="I984" s="15" t="s">
        <v>204</v>
      </c>
    </row>
    <row r="985" spans="1:9" x14ac:dyDescent="0.2">
      <c r="A985" t="s">
        <v>44</v>
      </c>
      <c r="B985" t="s">
        <v>153</v>
      </c>
      <c r="C985" t="s">
        <v>156</v>
      </c>
      <c r="D985" s="32">
        <v>446.5</v>
      </c>
      <c r="E985" s="32">
        <v>0</v>
      </c>
      <c r="F985" s="32">
        <v>166648</v>
      </c>
      <c r="G985" s="32">
        <v>0</v>
      </c>
      <c r="H985" s="32">
        <v>345314</v>
      </c>
      <c r="I985" s="15" t="s">
        <v>204</v>
      </c>
    </row>
    <row r="986" spans="1:9" x14ac:dyDescent="0.2">
      <c r="A986" t="s">
        <v>89</v>
      </c>
      <c r="B986" t="s">
        <v>152</v>
      </c>
      <c r="C986" t="s">
        <v>156</v>
      </c>
      <c r="D986" s="32">
        <v>122</v>
      </c>
      <c r="E986" s="32">
        <v>0</v>
      </c>
      <c r="F986" s="32">
        <v>10939</v>
      </c>
      <c r="G986" s="32">
        <v>0</v>
      </c>
      <c r="H986" s="32">
        <v>50370</v>
      </c>
      <c r="I986" s="15" t="s">
        <v>204</v>
      </c>
    </row>
    <row r="987" spans="1:9" x14ac:dyDescent="0.2">
      <c r="A987" t="s">
        <v>22</v>
      </c>
      <c r="B987" t="s">
        <v>153</v>
      </c>
      <c r="C987" t="s">
        <v>156</v>
      </c>
      <c r="D987" s="32">
        <v>172.13333333333333</v>
      </c>
      <c r="E987" s="32">
        <v>0</v>
      </c>
      <c r="F987" s="32">
        <v>49120</v>
      </c>
      <c r="G987" s="32">
        <v>0</v>
      </c>
      <c r="H987" s="32">
        <v>133024</v>
      </c>
      <c r="I987" s="15" t="s">
        <v>204</v>
      </c>
    </row>
    <row r="988" spans="1:9" x14ac:dyDescent="0.2">
      <c r="A988" t="s">
        <v>21</v>
      </c>
      <c r="B988" t="s">
        <v>153</v>
      </c>
      <c r="C988" t="s">
        <v>156</v>
      </c>
      <c r="D988" s="32">
        <v>300.76666666666665</v>
      </c>
      <c r="E988" s="32">
        <v>0</v>
      </c>
      <c r="F988" s="32">
        <v>74320</v>
      </c>
      <c r="G988" s="32">
        <v>0</v>
      </c>
      <c r="H988" s="32">
        <v>232204</v>
      </c>
      <c r="I988" s="15" t="s">
        <v>204</v>
      </c>
    </row>
    <row r="989" spans="1:9" x14ac:dyDescent="0.2">
      <c r="A989" t="s">
        <v>90</v>
      </c>
      <c r="B989" t="s">
        <v>150</v>
      </c>
      <c r="C989" t="s">
        <v>156</v>
      </c>
      <c r="D989" s="32">
        <v>9266.4000000000142</v>
      </c>
      <c r="E989" s="32">
        <v>3136</v>
      </c>
      <c r="F989" s="32">
        <v>4873310</v>
      </c>
      <c r="G989" s="32">
        <v>0</v>
      </c>
      <c r="H989" s="32">
        <v>6861028</v>
      </c>
      <c r="I989" s="15" t="s">
        <v>204</v>
      </c>
    </row>
    <row r="990" spans="1:9" x14ac:dyDescent="0.2">
      <c r="A990" t="s">
        <v>15</v>
      </c>
      <c r="B990" t="s">
        <v>150</v>
      </c>
      <c r="C990" t="s">
        <v>156</v>
      </c>
      <c r="D990" s="32">
        <v>307</v>
      </c>
      <c r="E990" s="32">
        <v>0</v>
      </c>
      <c r="F990" s="32">
        <v>0</v>
      </c>
      <c r="G990" s="32">
        <v>0</v>
      </c>
      <c r="H990" s="32">
        <v>223314</v>
      </c>
      <c r="I990" s="15" t="s">
        <v>204</v>
      </c>
    </row>
    <row r="991" spans="1:9" x14ac:dyDescent="0.2">
      <c r="A991" t="s">
        <v>30</v>
      </c>
      <c r="B991" t="s">
        <v>150</v>
      </c>
      <c r="C991" t="s">
        <v>156</v>
      </c>
      <c r="D991" s="32">
        <v>3779.6999999999989</v>
      </c>
      <c r="E991" s="32">
        <v>0</v>
      </c>
      <c r="F991" s="32">
        <v>1644945</v>
      </c>
      <c r="G991" s="32">
        <v>0</v>
      </c>
      <c r="H991" s="32">
        <v>2299264</v>
      </c>
      <c r="I991" s="15" t="s">
        <v>204</v>
      </c>
    </row>
    <row r="992" spans="1:9" x14ac:dyDescent="0.2">
      <c r="A992" t="s">
        <v>73</v>
      </c>
      <c r="B992" t="s">
        <v>150</v>
      </c>
      <c r="C992" t="s">
        <v>156</v>
      </c>
      <c r="D992" s="32">
        <v>468.76666666666637</v>
      </c>
      <c r="E992" s="32">
        <v>0</v>
      </c>
      <c r="F992" s="32">
        <v>285720</v>
      </c>
      <c r="G992" s="32">
        <v>0</v>
      </c>
      <c r="H992" s="32">
        <v>344730</v>
      </c>
      <c r="I992" s="15" t="s">
        <v>204</v>
      </c>
    </row>
    <row r="993" spans="1:9" x14ac:dyDescent="0.2">
      <c r="A993" t="s">
        <v>81</v>
      </c>
      <c r="B993" t="s">
        <v>153</v>
      </c>
      <c r="C993" t="s">
        <v>156</v>
      </c>
      <c r="D993" s="32">
        <v>133</v>
      </c>
      <c r="E993" s="32">
        <v>0</v>
      </c>
      <c r="F993" s="32">
        <v>103720</v>
      </c>
      <c r="G993" s="32">
        <v>0</v>
      </c>
      <c r="H993" s="32">
        <v>111832</v>
      </c>
      <c r="I993" s="15" t="s">
        <v>204</v>
      </c>
    </row>
    <row r="994" spans="1:9" x14ac:dyDescent="0.2">
      <c r="A994" t="s">
        <v>5</v>
      </c>
      <c r="B994" t="s">
        <v>149</v>
      </c>
      <c r="C994" t="s">
        <v>156</v>
      </c>
      <c r="D994" s="32">
        <v>81.299999999999926</v>
      </c>
      <c r="E994" s="32">
        <v>0</v>
      </c>
      <c r="F994" s="32">
        <v>331900</v>
      </c>
      <c r="G994" s="32">
        <v>0</v>
      </c>
      <c r="H994" s="32">
        <v>76560</v>
      </c>
      <c r="I994" s="15" t="s">
        <v>204</v>
      </c>
    </row>
    <row r="995" spans="1:9" x14ac:dyDescent="0.2">
      <c r="A995" t="s">
        <v>50</v>
      </c>
      <c r="B995" t="s">
        <v>149</v>
      </c>
      <c r="C995" t="s">
        <v>156</v>
      </c>
      <c r="D995" s="32">
        <v>5575.25000000001</v>
      </c>
      <c r="E995" s="32">
        <v>0</v>
      </c>
      <c r="F995" s="32">
        <v>0</v>
      </c>
      <c r="G995" s="32">
        <v>0</v>
      </c>
      <c r="H995" s="32">
        <v>4144799</v>
      </c>
      <c r="I995" s="15" t="s">
        <v>204</v>
      </c>
    </row>
    <row r="996" spans="1:9" x14ac:dyDescent="0.2">
      <c r="A996" t="s">
        <v>198</v>
      </c>
      <c r="B996" t="s">
        <v>153</v>
      </c>
      <c r="C996" t="s">
        <v>156</v>
      </c>
      <c r="D996" s="32">
        <v>78.199999999999989</v>
      </c>
      <c r="E996" s="32">
        <v>0</v>
      </c>
      <c r="F996" s="32">
        <v>71534</v>
      </c>
      <c r="G996" s="32">
        <v>0</v>
      </c>
      <c r="H996" s="32">
        <v>63784</v>
      </c>
      <c r="I996" s="15" t="s">
        <v>204</v>
      </c>
    </row>
    <row r="997" spans="1:9" x14ac:dyDescent="0.2">
      <c r="A997" t="s">
        <v>37</v>
      </c>
      <c r="B997" t="s">
        <v>151</v>
      </c>
      <c r="C997" t="s">
        <v>156</v>
      </c>
      <c r="D997" s="32">
        <v>4046.7000000000221</v>
      </c>
      <c r="E997" s="32">
        <v>0</v>
      </c>
      <c r="F997" s="32">
        <v>2115493</v>
      </c>
      <c r="G997" s="32">
        <v>0</v>
      </c>
      <c r="H997" s="32">
        <v>3511882</v>
      </c>
      <c r="I997" s="15" t="s">
        <v>204</v>
      </c>
    </row>
    <row r="998" spans="1:9" x14ac:dyDescent="0.2">
      <c r="A998" t="s">
        <v>41</v>
      </c>
      <c r="B998" t="s">
        <v>153</v>
      </c>
      <c r="C998" t="s">
        <v>156</v>
      </c>
      <c r="D998" s="32">
        <v>204.46666666666667</v>
      </c>
      <c r="E998" s="32">
        <v>0</v>
      </c>
      <c r="F998" s="32">
        <v>80673</v>
      </c>
      <c r="G998" s="32">
        <v>0</v>
      </c>
      <c r="H998" s="32">
        <v>167036</v>
      </c>
      <c r="I998" s="15" t="s">
        <v>204</v>
      </c>
    </row>
  </sheetData>
  <autoFilter ref="A6:I917"/>
  <sortState ref="A30:I36">
    <sortCondition ref="A30"/>
  </sortState>
  <pageMargins left="0.75" right="0.75" top="1" bottom="1" header="0" footer="0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8"/>
  <sheetViews>
    <sheetView zoomScale="80" zoomScaleNormal="80" workbookViewId="0">
      <pane xSplit="1" topLeftCell="B1" activePane="topRight" state="frozen"/>
      <selection pane="topRight" activeCell="B1" sqref="B1"/>
    </sheetView>
  </sheetViews>
  <sheetFormatPr baseColWidth="10" defaultRowHeight="12.75" outlineLevelRow="1" x14ac:dyDescent="0.2"/>
  <cols>
    <col min="1" max="1" width="47.140625" customWidth="1"/>
    <col min="2" max="14" width="14.28515625" customWidth="1"/>
  </cols>
  <sheetData>
    <row r="1" spans="1:14" ht="15.75" x14ac:dyDescent="0.25">
      <c r="B1" s="25" t="s">
        <v>116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30">
        <v>2015</v>
      </c>
    </row>
    <row r="2" spans="1:14" x14ac:dyDescent="0.2">
      <c r="B2" s="26" t="s">
        <v>53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4" ht="15" x14ac:dyDescent="0.25">
      <c r="B3" s="27" t="s">
        <v>133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4" x14ac:dyDescent="0.2">
      <c r="B4" s="28" t="s">
        <v>134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1:14" x14ac:dyDescent="0.2">
      <c r="A5" s="3"/>
    </row>
    <row r="6" spans="1:14" x14ac:dyDescent="0.2">
      <c r="A6" s="23" t="s">
        <v>82</v>
      </c>
      <c r="B6" s="23" t="s">
        <v>83</v>
      </c>
      <c r="C6" s="23" t="s">
        <v>84</v>
      </c>
      <c r="D6" s="23" t="s">
        <v>118</v>
      </c>
      <c r="E6" s="23" t="s">
        <v>85</v>
      </c>
      <c r="F6" s="23" t="s">
        <v>86</v>
      </c>
      <c r="G6" s="23" t="s">
        <v>87</v>
      </c>
      <c r="H6" s="23" t="s">
        <v>119</v>
      </c>
      <c r="I6" s="23" t="s">
        <v>120</v>
      </c>
      <c r="J6" s="23" t="s">
        <v>121</v>
      </c>
      <c r="K6" s="23" t="s">
        <v>122</v>
      </c>
      <c r="L6" s="23" t="s">
        <v>123</v>
      </c>
      <c r="M6" s="23" t="s">
        <v>124</v>
      </c>
      <c r="N6" s="23" t="s">
        <v>125</v>
      </c>
    </row>
    <row r="7" spans="1:14" x14ac:dyDescent="0.2">
      <c r="A7" s="2" t="s">
        <v>108</v>
      </c>
      <c r="B7" s="10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20</v>
      </c>
      <c r="M7" s="9">
        <v>30</v>
      </c>
      <c r="N7" s="9">
        <f t="shared" ref="N7:N19" si="0">SUM(B7:M7)</f>
        <v>50</v>
      </c>
    </row>
    <row r="8" spans="1:14" x14ac:dyDescent="0.2">
      <c r="A8" s="14" t="s">
        <v>42</v>
      </c>
      <c r="B8" s="10">
        <v>20</v>
      </c>
      <c r="C8" s="9">
        <v>10</v>
      </c>
      <c r="D8" s="9">
        <v>42</v>
      </c>
      <c r="E8" s="9">
        <v>19</v>
      </c>
      <c r="F8" s="9">
        <v>32</v>
      </c>
      <c r="G8" s="9">
        <v>48</v>
      </c>
      <c r="H8" s="9">
        <v>49</v>
      </c>
      <c r="I8" s="9">
        <v>31</v>
      </c>
      <c r="J8" s="9">
        <v>4</v>
      </c>
      <c r="K8" s="9">
        <v>18</v>
      </c>
      <c r="L8" s="9">
        <v>74</v>
      </c>
      <c r="M8" s="9">
        <v>77</v>
      </c>
      <c r="N8" s="9">
        <f t="shared" si="0"/>
        <v>424</v>
      </c>
    </row>
    <row r="9" spans="1:14" x14ac:dyDescent="0.2">
      <c r="A9" s="2" t="s">
        <v>4</v>
      </c>
      <c r="B9" s="10">
        <v>10</v>
      </c>
      <c r="C9" s="9">
        <v>14</v>
      </c>
      <c r="D9" s="9">
        <v>11</v>
      </c>
      <c r="E9" s="9">
        <v>14</v>
      </c>
      <c r="F9" s="9">
        <v>12</v>
      </c>
      <c r="G9" s="9">
        <v>7</v>
      </c>
      <c r="H9" s="9">
        <v>4</v>
      </c>
      <c r="I9" s="9">
        <v>14</v>
      </c>
      <c r="J9" s="9">
        <v>7</v>
      </c>
      <c r="K9" s="9">
        <v>10</v>
      </c>
      <c r="L9" s="9">
        <v>12</v>
      </c>
      <c r="M9" s="9">
        <v>0</v>
      </c>
      <c r="N9" s="9">
        <f t="shared" si="0"/>
        <v>115</v>
      </c>
    </row>
    <row r="10" spans="1:14" s="1" customFormat="1" x14ac:dyDescent="0.2">
      <c r="A10" s="2" t="s">
        <v>2</v>
      </c>
      <c r="B10" s="10">
        <v>8</v>
      </c>
      <c r="C10" s="9">
        <v>5</v>
      </c>
      <c r="D10" s="9">
        <v>10</v>
      </c>
      <c r="E10" s="9">
        <v>5</v>
      </c>
      <c r="F10" s="9">
        <v>27</v>
      </c>
      <c r="G10" s="9">
        <v>27</v>
      </c>
      <c r="H10" s="9">
        <v>28</v>
      </c>
      <c r="I10" s="9">
        <v>5</v>
      </c>
      <c r="J10" s="9">
        <v>5</v>
      </c>
      <c r="K10" s="9">
        <v>14</v>
      </c>
      <c r="L10" s="9">
        <v>11</v>
      </c>
      <c r="M10" s="9">
        <v>2</v>
      </c>
      <c r="N10" s="9">
        <f t="shared" si="0"/>
        <v>147</v>
      </c>
    </row>
    <row r="11" spans="1:14" s="1" customFormat="1" x14ac:dyDescent="0.2">
      <c r="A11" s="2" t="s">
        <v>1</v>
      </c>
      <c r="B11" s="10">
        <v>2</v>
      </c>
      <c r="C11" s="9">
        <v>9</v>
      </c>
      <c r="D11" s="9">
        <v>9</v>
      </c>
      <c r="E11" s="9">
        <v>14</v>
      </c>
      <c r="F11" s="9">
        <v>10</v>
      </c>
      <c r="G11" s="9">
        <v>12</v>
      </c>
      <c r="H11" s="9">
        <v>9</v>
      </c>
      <c r="I11" s="9">
        <v>17</v>
      </c>
      <c r="J11" s="9">
        <v>13</v>
      </c>
      <c r="K11" s="9">
        <v>13</v>
      </c>
      <c r="L11" s="9">
        <v>10</v>
      </c>
      <c r="M11" s="9">
        <v>11</v>
      </c>
      <c r="N11" s="9">
        <f t="shared" si="0"/>
        <v>129</v>
      </c>
    </row>
    <row r="12" spans="1:14" s="1" customFormat="1" x14ac:dyDescent="0.2">
      <c r="A12" s="2" t="s">
        <v>27</v>
      </c>
      <c r="B12" s="10">
        <v>328</v>
      </c>
      <c r="C12" s="9">
        <v>333</v>
      </c>
      <c r="D12" s="9">
        <v>331</v>
      </c>
      <c r="E12" s="9">
        <v>254</v>
      </c>
      <c r="F12" s="9">
        <v>328</v>
      </c>
      <c r="G12" s="9">
        <v>406</v>
      </c>
      <c r="H12" s="9">
        <v>390</v>
      </c>
      <c r="I12" s="9">
        <v>416</v>
      </c>
      <c r="J12" s="9">
        <v>350</v>
      </c>
      <c r="K12" s="9">
        <v>368</v>
      </c>
      <c r="L12" s="9">
        <v>344</v>
      </c>
      <c r="M12" s="9">
        <v>364</v>
      </c>
      <c r="N12" s="9">
        <f t="shared" si="0"/>
        <v>4212</v>
      </c>
    </row>
    <row r="13" spans="1:14" s="1" customFormat="1" x14ac:dyDescent="0.2">
      <c r="A13" s="2" t="s">
        <v>23</v>
      </c>
      <c r="B13" s="10">
        <v>102</v>
      </c>
      <c r="C13" s="9">
        <v>73</v>
      </c>
      <c r="D13" s="9">
        <v>103</v>
      </c>
      <c r="E13" s="9">
        <v>129</v>
      </c>
      <c r="F13" s="9">
        <v>80</v>
      </c>
      <c r="G13" s="9">
        <v>23</v>
      </c>
      <c r="H13" s="9">
        <v>70</v>
      </c>
      <c r="I13" s="9">
        <v>41</v>
      </c>
      <c r="J13" s="9">
        <v>60</v>
      </c>
      <c r="K13" s="9">
        <v>59</v>
      </c>
      <c r="L13" s="9">
        <v>37</v>
      </c>
      <c r="M13" s="9">
        <v>26</v>
      </c>
      <c r="N13" s="9">
        <f t="shared" si="0"/>
        <v>803</v>
      </c>
    </row>
    <row r="14" spans="1:14" s="1" customFormat="1" x14ac:dyDescent="0.2">
      <c r="A14" s="2" t="s">
        <v>57</v>
      </c>
      <c r="B14" s="10">
        <v>0</v>
      </c>
      <c r="C14" s="9">
        <v>0</v>
      </c>
      <c r="D14" s="9">
        <v>1</v>
      </c>
      <c r="E14" s="9">
        <v>5</v>
      </c>
      <c r="F14" s="9">
        <v>12</v>
      </c>
      <c r="G14" s="9">
        <v>1</v>
      </c>
      <c r="H14" s="9">
        <v>1</v>
      </c>
      <c r="I14" s="9">
        <v>2</v>
      </c>
      <c r="J14" s="9">
        <v>1</v>
      </c>
      <c r="K14" s="9">
        <v>1</v>
      </c>
      <c r="L14" s="9">
        <v>0</v>
      </c>
      <c r="M14" s="9">
        <v>0</v>
      </c>
      <c r="N14" s="9">
        <f t="shared" si="0"/>
        <v>24</v>
      </c>
    </row>
    <row r="15" spans="1:14" s="1" customFormat="1" x14ac:dyDescent="0.2">
      <c r="A15" s="2" t="s">
        <v>28</v>
      </c>
      <c r="B15" s="10">
        <v>0</v>
      </c>
      <c r="C15" s="9">
        <v>0</v>
      </c>
      <c r="D15" s="9">
        <v>0</v>
      </c>
      <c r="E15" s="9">
        <v>0</v>
      </c>
      <c r="F15" s="9">
        <v>1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f t="shared" si="0"/>
        <v>1</v>
      </c>
    </row>
    <row r="16" spans="1:14" s="1" customFormat="1" x14ac:dyDescent="0.2">
      <c r="A16" s="2" t="s">
        <v>3</v>
      </c>
      <c r="B16" s="10">
        <v>5</v>
      </c>
      <c r="C16" s="9">
        <v>2</v>
      </c>
      <c r="D16" s="9">
        <v>0</v>
      </c>
      <c r="E16" s="9">
        <v>7</v>
      </c>
      <c r="F16" s="9">
        <v>5</v>
      </c>
      <c r="G16" s="9">
        <v>2</v>
      </c>
      <c r="H16" s="9">
        <v>0</v>
      </c>
      <c r="I16" s="9">
        <v>1</v>
      </c>
      <c r="J16" s="9">
        <v>6</v>
      </c>
      <c r="K16" s="9">
        <v>4</v>
      </c>
      <c r="L16" s="9">
        <v>4</v>
      </c>
      <c r="M16" s="9">
        <v>1</v>
      </c>
      <c r="N16" s="9">
        <f t="shared" si="0"/>
        <v>37</v>
      </c>
    </row>
    <row r="17" spans="1:14" s="1" customFormat="1" x14ac:dyDescent="0.2">
      <c r="A17" s="2" t="s">
        <v>6</v>
      </c>
      <c r="B17" s="10">
        <v>22</v>
      </c>
      <c r="C17" s="9">
        <v>43</v>
      </c>
      <c r="D17" s="9">
        <v>51</v>
      </c>
      <c r="E17" s="9">
        <v>99</v>
      </c>
      <c r="F17" s="9">
        <v>88</v>
      </c>
      <c r="G17" s="9">
        <v>67</v>
      </c>
      <c r="H17" s="9">
        <v>193</v>
      </c>
      <c r="I17" s="9">
        <v>103</v>
      </c>
      <c r="J17" s="9">
        <v>53</v>
      </c>
      <c r="K17" s="9">
        <v>68</v>
      </c>
      <c r="L17" s="9">
        <v>23</v>
      </c>
      <c r="M17" s="9">
        <v>38</v>
      </c>
      <c r="N17" s="9">
        <f t="shared" si="0"/>
        <v>848</v>
      </c>
    </row>
    <row r="18" spans="1:14" s="1" customFormat="1" x14ac:dyDescent="0.2">
      <c r="A18" s="2" t="s">
        <v>194</v>
      </c>
      <c r="B18" s="10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14</v>
      </c>
      <c r="I18" s="9">
        <v>78</v>
      </c>
      <c r="J18" s="9">
        <v>83</v>
      </c>
      <c r="K18" s="9">
        <v>101</v>
      </c>
      <c r="L18" s="9">
        <v>132</v>
      </c>
      <c r="M18" s="9">
        <v>215</v>
      </c>
      <c r="N18" s="9">
        <f t="shared" si="0"/>
        <v>623</v>
      </c>
    </row>
    <row r="19" spans="1:14" s="1" customFormat="1" x14ac:dyDescent="0.2">
      <c r="A19" s="2" t="s">
        <v>174</v>
      </c>
      <c r="B19" s="10">
        <v>0</v>
      </c>
      <c r="C19" s="9">
        <v>0</v>
      </c>
      <c r="D19" s="9">
        <v>4</v>
      </c>
      <c r="E19" s="9">
        <v>0</v>
      </c>
      <c r="F19" s="9">
        <v>2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f t="shared" si="0"/>
        <v>6</v>
      </c>
    </row>
    <row r="20" spans="1:14" x14ac:dyDescent="0.2">
      <c r="A20" s="20" t="s">
        <v>0</v>
      </c>
      <c r="B20" s="21">
        <f t="shared" ref="B20:M20" si="1">SUM(B7:B19)</f>
        <v>497</v>
      </c>
      <c r="C20" s="21">
        <f t="shared" si="1"/>
        <v>489</v>
      </c>
      <c r="D20" s="21">
        <f t="shared" si="1"/>
        <v>562</v>
      </c>
      <c r="E20" s="21">
        <f t="shared" si="1"/>
        <v>546</v>
      </c>
      <c r="F20" s="21">
        <f t="shared" si="1"/>
        <v>597</v>
      </c>
      <c r="G20" s="21">
        <f t="shared" si="1"/>
        <v>593</v>
      </c>
      <c r="H20" s="21">
        <f t="shared" si="1"/>
        <v>758</v>
      </c>
      <c r="I20" s="21">
        <f t="shared" si="1"/>
        <v>708</v>
      </c>
      <c r="J20" s="21">
        <f t="shared" si="1"/>
        <v>582</v>
      </c>
      <c r="K20" s="21">
        <f t="shared" si="1"/>
        <v>656</v>
      </c>
      <c r="L20" s="21">
        <f t="shared" si="1"/>
        <v>667</v>
      </c>
      <c r="M20" s="21">
        <f t="shared" si="1"/>
        <v>764</v>
      </c>
      <c r="N20" s="21">
        <f>SUM(N7:N19)</f>
        <v>7419</v>
      </c>
    </row>
    <row r="21" spans="1:14" x14ac:dyDescent="0.2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4" x14ac:dyDescent="0.2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x14ac:dyDescent="0.2">
      <c r="A23" s="4" t="s">
        <v>132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x14ac:dyDescent="0.2">
      <c r="A24" s="6" t="s">
        <v>135</v>
      </c>
    </row>
    <row r="26" spans="1:14" x14ac:dyDescent="0.2">
      <c r="A26" s="23" t="s">
        <v>82</v>
      </c>
      <c r="B26" s="23" t="s">
        <v>83</v>
      </c>
      <c r="C26" s="23" t="s">
        <v>84</v>
      </c>
      <c r="D26" s="23" t="s">
        <v>118</v>
      </c>
      <c r="E26" s="23" t="s">
        <v>85</v>
      </c>
      <c r="F26" s="23" t="s">
        <v>86</v>
      </c>
      <c r="G26" s="23" t="s">
        <v>87</v>
      </c>
      <c r="H26" s="23" t="s">
        <v>119</v>
      </c>
      <c r="I26" s="23" t="s">
        <v>120</v>
      </c>
      <c r="J26" s="23" t="s">
        <v>121</v>
      </c>
      <c r="K26" s="23" t="s">
        <v>122</v>
      </c>
      <c r="L26" s="23" t="s">
        <v>123</v>
      </c>
      <c r="M26" s="23" t="s">
        <v>124</v>
      </c>
      <c r="N26" s="23" t="s">
        <v>125</v>
      </c>
    </row>
    <row r="27" spans="1:14" x14ac:dyDescent="0.2">
      <c r="A27" s="7" t="s">
        <v>42</v>
      </c>
      <c r="B27" s="10">
        <v>0</v>
      </c>
      <c r="C27" s="9">
        <v>0</v>
      </c>
      <c r="D27" s="9">
        <v>1</v>
      </c>
      <c r="E27" s="9">
        <v>13</v>
      </c>
      <c r="F27" s="9">
        <v>2</v>
      </c>
      <c r="G27" s="9">
        <v>0</v>
      </c>
      <c r="H27" s="9">
        <v>4</v>
      </c>
      <c r="I27" s="9">
        <v>2</v>
      </c>
      <c r="J27" s="9">
        <v>2</v>
      </c>
      <c r="K27" s="9">
        <v>0</v>
      </c>
      <c r="L27" s="9">
        <v>0</v>
      </c>
      <c r="M27" s="9">
        <v>0</v>
      </c>
      <c r="N27" s="9">
        <f t="shared" ref="N27:N36" si="2">SUM(B27:M27)</f>
        <v>24</v>
      </c>
    </row>
    <row r="28" spans="1:14" x14ac:dyDescent="0.2">
      <c r="A28" s="2" t="s">
        <v>4</v>
      </c>
      <c r="B28" s="10">
        <v>0</v>
      </c>
      <c r="C28" s="9">
        <v>0</v>
      </c>
      <c r="D28" s="9">
        <v>1</v>
      </c>
      <c r="E28" s="9">
        <v>0</v>
      </c>
      <c r="F28" s="9">
        <v>0</v>
      </c>
      <c r="G28" s="9">
        <v>0</v>
      </c>
      <c r="H28" s="9">
        <v>0</v>
      </c>
      <c r="I28" s="9">
        <v>2</v>
      </c>
      <c r="J28" s="9">
        <v>0</v>
      </c>
      <c r="K28" s="9">
        <v>2</v>
      </c>
      <c r="L28" s="9">
        <v>1</v>
      </c>
      <c r="M28" s="9">
        <v>1</v>
      </c>
      <c r="N28" s="9">
        <f t="shared" si="2"/>
        <v>7</v>
      </c>
    </row>
    <row r="29" spans="1:14" x14ac:dyDescent="0.2">
      <c r="A29" s="7" t="s">
        <v>2</v>
      </c>
      <c r="B29" s="10">
        <v>175</v>
      </c>
      <c r="C29" s="9">
        <v>161</v>
      </c>
      <c r="D29" s="9">
        <v>184</v>
      </c>
      <c r="E29" s="9">
        <v>103</v>
      </c>
      <c r="F29" s="9">
        <v>34</v>
      </c>
      <c r="G29" s="9">
        <v>155</v>
      </c>
      <c r="H29" s="9">
        <v>146</v>
      </c>
      <c r="I29" s="9">
        <v>29</v>
      </c>
      <c r="J29" s="9">
        <v>14</v>
      </c>
      <c r="K29" s="9">
        <v>8</v>
      </c>
      <c r="L29" s="9">
        <v>6</v>
      </c>
      <c r="M29" s="9">
        <v>46</v>
      </c>
      <c r="N29" s="9">
        <f t="shared" si="2"/>
        <v>1061</v>
      </c>
    </row>
    <row r="30" spans="1:14" x14ac:dyDescent="0.2">
      <c r="A30" s="2" t="s">
        <v>1</v>
      </c>
      <c r="B30" s="10">
        <v>2</v>
      </c>
      <c r="C30" s="9">
        <v>1</v>
      </c>
      <c r="D30" s="9">
        <v>1</v>
      </c>
      <c r="E30" s="9">
        <v>5</v>
      </c>
      <c r="F30" s="9">
        <v>1</v>
      </c>
      <c r="G30" s="9">
        <v>0</v>
      </c>
      <c r="H30" s="9">
        <v>6</v>
      </c>
      <c r="I30" s="9">
        <v>0</v>
      </c>
      <c r="J30" s="9">
        <v>1</v>
      </c>
      <c r="K30" s="9">
        <v>2</v>
      </c>
      <c r="L30" s="9">
        <v>0</v>
      </c>
      <c r="M30" s="9">
        <v>4</v>
      </c>
      <c r="N30" s="9">
        <f t="shared" si="2"/>
        <v>23</v>
      </c>
    </row>
    <row r="31" spans="1:14" x14ac:dyDescent="0.2">
      <c r="A31" s="2" t="s">
        <v>27</v>
      </c>
      <c r="B31" s="10">
        <v>41</v>
      </c>
      <c r="C31" s="9">
        <v>25</v>
      </c>
      <c r="D31" s="9">
        <v>27</v>
      </c>
      <c r="E31" s="9">
        <v>22</v>
      </c>
      <c r="F31" s="9">
        <v>56</v>
      </c>
      <c r="G31" s="9">
        <v>34</v>
      </c>
      <c r="H31" s="9">
        <v>5</v>
      </c>
      <c r="I31" s="9">
        <v>12</v>
      </c>
      <c r="J31" s="9">
        <v>36</v>
      </c>
      <c r="K31" s="9">
        <v>51</v>
      </c>
      <c r="L31" s="9">
        <v>99</v>
      </c>
      <c r="M31" s="9">
        <v>32</v>
      </c>
      <c r="N31" s="9">
        <f t="shared" si="2"/>
        <v>440</v>
      </c>
    </row>
    <row r="32" spans="1:14" x14ac:dyDescent="0.2">
      <c r="A32" s="39" t="s">
        <v>57</v>
      </c>
      <c r="B32" s="10">
        <v>4</v>
      </c>
      <c r="C32" s="9">
        <v>4</v>
      </c>
      <c r="D32" s="9">
        <v>1</v>
      </c>
      <c r="E32" s="9">
        <v>0</v>
      </c>
      <c r="F32" s="9">
        <v>8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f t="shared" si="2"/>
        <v>17</v>
      </c>
    </row>
    <row r="33" spans="1:14" x14ac:dyDescent="0.2">
      <c r="A33" s="2" t="s">
        <v>3</v>
      </c>
      <c r="B33" s="10">
        <v>7</v>
      </c>
      <c r="C33" s="9">
        <v>22</v>
      </c>
      <c r="D33" s="9">
        <v>0</v>
      </c>
      <c r="E33" s="9">
        <v>47</v>
      </c>
      <c r="F33" s="9">
        <v>58</v>
      </c>
      <c r="G33" s="9">
        <v>58</v>
      </c>
      <c r="H33" s="9">
        <v>53</v>
      </c>
      <c r="I33" s="9">
        <v>16</v>
      </c>
      <c r="J33" s="9">
        <v>0</v>
      </c>
      <c r="K33" s="9">
        <v>1</v>
      </c>
      <c r="L33" s="9">
        <v>2</v>
      </c>
      <c r="M33" s="9">
        <v>0</v>
      </c>
      <c r="N33" s="9">
        <f t="shared" si="2"/>
        <v>264</v>
      </c>
    </row>
    <row r="34" spans="1:14" x14ac:dyDescent="0.2">
      <c r="A34" s="2" t="s">
        <v>6</v>
      </c>
      <c r="B34" s="10">
        <v>22</v>
      </c>
      <c r="C34" s="9">
        <v>16</v>
      </c>
      <c r="D34" s="9">
        <v>22</v>
      </c>
      <c r="E34" s="9">
        <v>28</v>
      </c>
      <c r="F34" s="9">
        <v>4</v>
      </c>
      <c r="G34" s="9">
        <v>16</v>
      </c>
      <c r="H34" s="9">
        <v>49</v>
      </c>
      <c r="I34" s="9">
        <v>36</v>
      </c>
      <c r="J34" s="9">
        <v>18</v>
      </c>
      <c r="K34" s="9">
        <v>18</v>
      </c>
      <c r="L34" s="9">
        <v>18</v>
      </c>
      <c r="M34" s="9">
        <v>22</v>
      </c>
      <c r="N34" s="9">
        <f t="shared" si="2"/>
        <v>269</v>
      </c>
    </row>
    <row r="35" spans="1:14" x14ac:dyDescent="0.2">
      <c r="A35" s="2" t="s">
        <v>29</v>
      </c>
      <c r="B35" s="10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1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f t="shared" si="2"/>
        <v>1</v>
      </c>
    </row>
    <row r="36" spans="1:14" s="1" customFormat="1" x14ac:dyDescent="0.2">
      <c r="A36" s="2" t="s">
        <v>174</v>
      </c>
      <c r="B36" s="10">
        <v>0</v>
      </c>
      <c r="C36" s="9">
        <v>0</v>
      </c>
      <c r="D36" s="9">
        <v>11</v>
      </c>
      <c r="E36" s="9">
        <v>16</v>
      </c>
      <c r="F36" s="9">
        <v>20</v>
      </c>
      <c r="G36" s="9">
        <v>16</v>
      </c>
      <c r="H36" s="9">
        <v>17</v>
      </c>
      <c r="I36" s="9">
        <v>13</v>
      </c>
      <c r="J36" s="9">
        <v>2</v>
      </c>
      <c r="K36" s="9">
        <v>0</v>
      </c>
      <c r="L36" s="9">
        <v>0</v>
      </c>
      <c r="M36" s="9">
        <v>0</v>
      </c>
      <c r="N36" s="9">
        <f t="shared" si="2"/>
        <v>95</v>
      </c>
    </row>
    <row r="37" spans="1:14" x14ac:dyDescent="0.2">
      <c r="A37" s="20" t="s">
        <v>0</v>
      </c>
      <c r="B37" s="21">
        <f>SUM(B27:B36)</f>
        <v>251</v>
      </c>
      <c r="C37" s="21">
        <f t="shared" ref="C37:K37" si="3">SUM(C27:C36)</f>
        <v>229</v>
      </c>
      <c r="D37" s="21">
        <f t="shared" si="3"/>
        <v>248</v>
      </c>
      <c r="E37" s="21">
        <f t="shared" si="3"/>
        <v>234</v>
      </c>
      <c r="F37" s="21">
        <f t="shared" si="3"/>
        <v>183</v>
      </c>
      <c r="G37" s="21">
        <f t="shared" si="3"/>
        <v>279</v>
      </c>
      <c r="H37" s="21">
        <f t="shared" si="3"/>
        <v>281</v>
      </c>
      <c r="I37" s="21">
        <f t="shared" si="3"/>
        <v>110</v>
      </c>
      <c r="J37" s="21">
        <f t="shared" si="3"/>
        <v>73</v>
      </c>
      <c r="K37" s="21">
        <f t="shared" si="3"/>
        <v>82</v>
      </c>
      <c r="L37" s="21">
        <f>SUM(L27:L36)</f>
        <v>126</v>
      </c>
      <c r="M37" s="21">
        <f t="shared" ref="M37:N37" si="4">SUM(M27:M36)</f>
        <v>105</v>
      </c>
      <c r="N37" s="21">
        <f t="shared" si="4"/>
        <v>2201</v>
      </c>
    </row>
    <row r="40" spans="1:14" x14ac:dyDescent="0.2">
      <c r="A40" s="4" t="s">
        <v>131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4" x14ac:dyDescent="0.2">
      <c r="A41" s="6" t="s">
        <v>135</v>
      </c>
    </row>
    <row r="42" spans="1:14" x14ac:dyDescent="0.2">
      <c r="A42" s="6"/>
    </row>
    <row r="43" spans="1:14" x14ac:dyDescent="0.2">
      <c r="A43" s="23" t="s">
        <v>82</v>
      </c>
      <c r="B43" s="23" t="s">
        <v>83</v>
      </c>
      <c r="C43" s="23" t="s">
        <v>84</v>
      </c>
      <c r="D43" s="23" t="s">
        <v>118</v>
      </c>
      <c r="E43" s="23" t="s">
        <v>85</v>
      </c>
      <c r="F43" s="23" t="s">
        <v>86</v>
      </c>
      <c r="G43" s="23" t="s">
        <v>87</v>
      </c>
      <c r="H43" s="23" t="s">
        <v>119</v>
      </c>
      <c r="I43" s="23" t="s">
        <v>120</v>
      </c>
      <c r="J43" s="23" t="s">
        <v>121</v>
      </c>
      <c r="K43" s="23" t="s">
        <v>122</v>
      </c>
      <c r="L43" s="23" t="s">
        <v>123</v>
      </c>
      <c r="M43" s="23" t="s">
        <v>124</v>
      </c>
      <c r="N43" s="23" t="s">
        <v>125</v>
      </c>
    </row>
    <row r="44" spans="1:14" s="1" customFormat="1" ht="12" customHeight="1" x14ac:dyDescent="0.2">
      <c r="A44" s="22" t="s">
        <v>127</v>
      </c>
      <c r="B44" s="33">
        <f>SUM(B45:B74)</f>
        <v>273</v>
      </c>
      <c r="C44" s="33">
        <f t="shared" ref="C44:N44" si="5">SUM(C45:C74)</f>
        <v>358</v>
      </c>
      <c r="D44" s="33">
        <f t="shared" si="5"/>
        <v>384</v>
      </c>
      <c r="E44" s="33">
        <f t="shared" si="5"/>
        <v>310</v>
      </c>
      <c r="F44" s="33">
        <f t="shared" si="5"/>
        <v>339</v>
      </c>
      <c r="G44" s="33">
        <f t="shared" si="5"/>
        <v>538</v>
      </c>
      <c r="H44" s="33">
        <f t="shared" si="5"/>
        <v>491</v>
      </c>
      <c r="I44" s="33">
        <f t="shared" si="5"/>
        <v>401</v>
      </c>
      <c r="J44" s="33">
        <f t="shared" si="5"/>
        <v>225</v>
      </c>
      <c r="K44" s="33">
        <f t="shared" si="5"/>
        <v>252</v>
      </c>
      <c r="L44" s="33">
        <f t="shared" si="5"/>
        <v>319</v>
      </c>
      <c r="M44" s="33">
        <f t="shared" si="5"/>
        <v>277</v>
      </c>
      <c r="N44" s="33">
        <f t="shared" si="5"/>
        <v>4167</v>
      </c>
    </row>
    <row r="45" spans="1:14" s="1" customFormat="1" ht="12.75" hidden="1" customHeight="1" outlineLevel="1" x14ac:dyDescent="0.2">
      <c r="A45" s="11" t="s">
        <v>10</v>
      </c>
      <c r="B45" s="10">
        <v>10</v>
      </c>
      <c r="C45" s="9">
        <v>8</v>
      </c>
      <c r="D45" s="9">
        <v>8</v>
      </c>
      <c r="E45" s="9">
        <v>8</v>
      </c>
      <c r="F45" s="9">
        <v>10</v>
      </c>
      <c r="G45" s="9">
        <v>12</v>
      </c>
      <c r="H45" s="9">
        <v>8</v>
      </c>
      <c r="I45" s="9">
        <v>10</v>
      </c>
      <c r="J45" s="9">
        <v>8</v>
      </c>
      <c r="K45" s="9">
        <v>10</v>
      </c>
      <c r="L45" s="9">
        <v>8</v>
      </c>
      <c r="M45" s="9">
        <v>8</v>
      </c>
      <c r="N45" s="9">
        <f t="shared" ref="N45:N74" si="6">SUM(B45:M45)</f>
        <v>108</v>
      </c>
    </row>
    <row r="46" spans="1:14" s="1" customFormat="1" ht="13.5" hidden="1" customHeight="1" outlineLevel="1" x14ac:dyDescent="0.2">
      <c r="A46" s="31" t="s">
        <v>105</v>
      </c>
      <c r="B46" s="10">
        <v>6</v>
      </c>
      <c r="C46" s="9">
        <v>0</v>
      </c>
      <c r="D46" s="9">
        <v>0</v>
      </c>
      <c r="E46" s="9">
        <v>4</v>
      </c>
      <c r="F46" s="9">
        <v>4</v>
      </c>
      <c r="G46" s="9">
        <v>6</v>
      </c>
      <c r="H46" s="9">
        <v>4</v>
      </c>
      <c r="I46" s="9">
        <v>0</v>
      </c>
      <c r="J46" s="9">
        <v>2</v>
      </c>
      <c r="K46" s="9">
        <v>0</v>
      </c>
      <c r="L46" s="9">
        <v>2</v>
      </c>
      <c r="M46" s="9">
        <v>6</v>
      </c>
      <c r="N46" s="9">
        <f t="shared" si="6"/>
        <v>34</v>
      </c>
    </row>
    <row r="47" spans="1:14" s="1" customFormat="1" ht="12.75" hidden="1" customHeight="1" outlineLevel="1" x14ac:dyDescent="0.2">
      <c r="A47" s="11" t="s">
        <v>17</v>
      </c>
      <c r="B47" s="10">
        <v>1</v>
      </c>
      <c r="C47" s="9">
        <v>0</v>
      </c>
      <c r="D47" s="9">
        <v>0</v>
      </c>
      <c r="E47" s="9">
        <v>0</v>
      </c>
      <c r="F47" s="9">
        <v>1</v>
      </c>
      <c r="G47" s="9">
        <v>0</v>
      </c>
      <c r="H47" s="9">
        <v>0</v>
      </c>
      <c r="I47" s="9">
        <v>0</v>
      </c>
      <c r="J47" s="9">
        <v>0</v>
      </c>
      <c r="K47" s="9">
        <v>1</v>
      </c>
      <c r="L47" s="9">
        <v>2</v>
      </c>
      <c r="M47" s="9">
        <v>0</v>
      </c>
      <c r="N47" s="9">
        <f t="shared" si="6"/>
        <v>5</v>
      </c>
    </row>
    <row r="48" spans="1:14" s="1" customFormat="1" ht="12.75" hidden="1" customHeight="1" outlineLevel="1" x14ac:dyDescent="0.2">
      <c r="A48" s="11" t="s">
        <v>8</v>
      </c>
      <c r="B48" s="10">
        <v>0</v>
      </c>
      <c r="C48" s="9">
        <v>0</v>
      </c>
      <c r="D48" s="9">
        <v>0</v>
      </c>
      <c r="E48" s="9">
        <v>2</v>
      </c>
      <c r="F48" s="9">
        <v>1</v>
      </c>
      <c r="G48" s="9">
        <v>0</v>
      </c>
      <c r="H48" s="9">
        <v>0</v>
      </c>
      <c r="I48" s="9">
        <v>0</v>
      </c>
      <c r="J48" s="9">
        <v>0</v>
      </c>
      <c r="K48" s="9">
        <v>2</v>
      </c>
      <c r="L48" s="9">
        <v>0</v>
      </c>
      <c r="M48" s="9">
        <v>0</v>
      </c>
      <c r="N48" s="9">
        <f t="shared" si="6"/>
        <v>5</v>
      </c>
    </row>
    <row r="49" spans="1:14" s="1" customFormat="1" ht="12.75" hidden="1" customHeight="1" outlineLevel="1" x14ac:dyDescent="0.2">
      <c r="A49" s="11" t="s">
        <v>75</v>
      </c>
      <c r="B49" s="10">
        <v>2</v>
      </c>
      <c r="C49" s="9">
        <v>4</v>
      </c>
      <c r="D49" s="9">
        <v>8</v>
      </c>
      <c r="E49" s="9">
        <v>0</v>
      </c>
      <c r="F49" s="9">
        <v>0</v>
      </c>
      <c r="G49" s="9">
        <v>14</v>
      </c>
      <c r="H49" s="9">
        <v>10</v>
      </c>
      <c r="I49" s="9">
        <v>2</v>
      </c>
      <c r="J49" s="9">
        <v>4</v>
      </c>
      <c r="K49" s="9">
        <v>8</v>
      </c>
      <c r="L49" s="9">
        <v>12</v>
      </c>
      <c r="M49" s="9">
        <v>10</v>
      </c>
      <c r="N49" s="9">
        <f t="shared" si="6"/>
        <v>74</v>
      </c>
    </row>
    <row r="50" spans="1:14" s="1" customFormat="1" ht="12.75" hidden="1" customHeight="1" outlineLevel="1" x14ac:dyDescent="0.2">
      <c r="A50" s="12" t="s">
        <v>52</v>
      </c>
      <c r="B50" s="10">
        <v>2</v>
      </c>
      <c r="C50" s="9">
        <v>0</v>
      </c>
      <c r="D50" s="9">
        <v>1</v>
      </c>
      <c r="E50" s="9">
        <v>4</v>
      </c>
      <c r="F50" s="9">
        <v>1</v>
      </c>
      <c r="G50" s="9">
        <v>2</v>
      </c>
      <c r="H50" s="9">
        <v>0</v>
      </c>
      <c r="I50" s="9">
        <v>0</v>
      </c>
      <c r="J50" s="9">
        <v>0</v>
      </c>
      <c r="K50" s="9">
        <v>4</v>
      </c>
      <c r="L50" s="9">
        <v>5</v>
      </c>
      <c r="M50" s="9">
        <v>6</v>
      </c>
      <c r="N50" s="9">
        <f t="shared" si="6"/>
        <v>25</v>
      </c>
    </row>
    <row r="51" spans="1:14" s="1" customFormat="1" ht="12.75" hidden="1" customHeight="1" outlineLevel="1" x14ac:dyDescent="0.2">
      <c r="A51" s="12" t="s">
        <v>163</v>
      </c>
      <c r="B51" s="10">
        <v>0</v>
      </c>
      <c r="C51" s="9">
        <v>4</v>
      </c>
      <c r="D51" s="9">
        <v>10</v>
      </c>
      <c r="E51" s="9">
        <v>4</v>
      </c>
      <c r="F51" s="9">
        <v>4</v>
      </c>
      <c r="G51" s="9">
        <v>8</v>
      </c>
      <c r="H51" s="9">
        <v>0</v>
      </c>
      <c r="I51" s="9">
        <v>2</v>
      </c>
      <c r="J51" s="9">
        <v>2</v>
      </c>
      <c r="K51" s="9">
        <v>4</v>
      </c>
      <c r="L51" s="9">
        <v>0</v>
      </c>
      <c r="M51" s="9">
        <v>14</v>
      </c>
      <c r="N51" s="9">
        <f t="shared" si="6"/>
        <v>52</v>
      </c>
    </row>
    <row r="52" spans="1:14" s="1" customFormat="1" ht="12.75" hidden="1" customHeight="1" outlineLevel="1" x14ac:dyDescent="0.2">
      <c r="A52" s="12" t="s">
        <v>93</v>
      </c>
      <c r="B52" s="10">
        <v>1</v>
      </c>
      <c r="C52" s="9">
        <v>0</v>
      </c>
      <c r="D52" s="9">
        <v>4</v>
      </c>
      <c r="E52" s="9">
        <v>8</v>
      </c>
      <c r="F52" s="9">
        <v>4</v>
      </c>
      <c r="G52" s="9">
        <v>9</v>
      </c>
      <c r="H52" s="9">
        <v>8</v>
      </c>
      <c r="I52" s="9">
        <v>4</v>
      </c>
      <c r="J52" s="9">
        <v>6</v>
      </c>
      <c r="K52" s="9">
        <v>4</v>
      </c>
      <c r="L52" s="9">
        <v>6</v>
      </c>
      <c r="M52" s="9">
        <v>2</v>
      </c>
      <c r="N52" s="9">
        <f t="shared" si="6"/>
        <v>56</v>
      </c>
    </row>
    <row r="53" spans="1:14" s="1" customFormat="1" ht="12.75" hidden="1" customHeight="1" outlineLevel="1" x14ac:dyDescent="0.2">
      <c r="A53" s="14" t="s">
        <v>7</v>
      </c>
      <c r="B53" s="10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1</v>
      </c>
      <c r="L53" s="9">
        <v>0</v>
      </c>
      <c r="M53" s="9">
        <v>0</v>
      </c>
      <c r="N53" s="9">
        <f t="shared" si="6"/>
        <v>1</v>
      </c>
    </row>
    <row r="54" spans="1:14" s="1" customFormat="1" ht="12.75" hidden="1" customHeight="1" outlineLevel="1" x14ac:dyDescent="0.2">
      <c r="A54" s="14" t="s">
        <v>9</v>
      </c>
      <c r="B54" s="10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2</v>
      </c>
      <c r="N54" s="9">
        <f t="shared" si="6"/>
        <v>2</v>
      </c>
    </row>
    <row r="55" spans="1:14" s="1" customFormat="1" ht="12.75" hidden="1" customHeight="1" outlineLevel="1" x14ac:dyDescent="0.2">
      <c r="A55" s="12" t="s">
        <v>78</v>
      </c>
      <c r="B55" s="10">
        <v>7</v>
      </c>
      <c r="C55" s="9">
        <v>7</v>
      </c>
      <c r="D55" s="9">
        <v>7</v>
      </c>
      <c r="E55" s="9">
        <v>7</v>
      </c>
      <c r="F55" s="9">
        <v>6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f t="shared" si="6"/>
        <v>34</v>
      </c>
    </row>
    <row r="56" spans="1:14" s="1" customFormat="1" ht="12.75" hidden="1" customHeight="1" outlineLevel="1" x14ac:dyDescent="0.2">
      <c r="A56" s="12" t="s">
        <v>14</v>
      </c>
      <c r="B56" s="10">
        <v>0</v>
      </c>
      <c r="C56" s="9">
        <v>1</v>
      </c>
      <c r="D56" s="9">
        <v>2</v>
      </c>
      <c r="E56" s="9">
        <v>0</v>
      </c>
      <c r="F56" s="9">
        <v>0</v>
      </c>
      <c r="G56" s="9">
        <v>2</v>
      </c>
      <c r="H56" s="9">
        <v>0</v>
      </c>
      <c r="I56" s="9">
        <v>1</v>
      </c>
      <c r="J56" s="9">
        <v>0</v>
      </c>
      <c r="K56" s="9">
        <v>3</v>
      </c>
      <c r="L56" s="9">
        <v>0</v>
      </c>
      <c r="M56" s="9">
        <v>0</v>
      </c>
      <c r="N56" s="9">
        <f t="shared" si="6"/>
        <v>9</v>
      </c>
    </row>
    <row r="57" spans="1:14" s="1" customFormat="1" ht="12.75" hidden="1" customHeight="1" outlineLevel="1" x14ac:dyDescent="0.2">
      <c r="A57" s="12" t="s">
        <v>13</v>
      </c>
      <c r="B57" s="10">
        <v>0</v>
      </c>
      <c r="C57" s="9">
        <v>103</v>
      </c>
      <c r="D57" s="9">
        <v>100</v>
      </c>
      <c r="E57" s="9">
        <v>78</v>
      </c>
      <c r="F57" s="9">
        <v>62</v>
      </c>
      <c r="G57" s="9">
        <v>61</v>
      </c>
      <c r="H57" s="9">
        <v>63</v>
      </c>
      <c r="I57" s="9">
        <v>54</v>
      </c>
      <c r="J57" s="9">
        <v>42</v>
      </c>
      <c r="K57" s="9">
        <v>44</v>
      </c>
      <c r="L57" s="9">
        <v>52</v>
      </c>
      <c r="M57" s="9">
        <v>54</v>
      </c>
      <c r="N57" s="9">
        <f t="shared" si="6"/>
        <v>713</v>
      </c>
    </row>
    <row r="58" spans="1:14" s="1" customFormat="1" ht="12.75" hidden="1" customHeight="1" outlineLevel="1" x14ac:dyDescent="0.2">
      <c r="A58" s="12" t="s">
        <v>175</v>
      </c>
      <c r="B58" s="10">
        <v>0</v>
      </c>
      <c r="C58" s="9">
        <v>0</v>
      </c>
      <c r="D58" s="9">
        <v>1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f t="shared" si="6"/>
        <v>1</v>
      </c>
    </row>
    <row r="59" spans="1:14" s="1" customFormat="1" ht="12.75" hidden="1" customHeight="1" outlineLevel="1" x14ac:dyDescent="0.2">
      <c r="A59" s="11" t="s">
        <v>24</v>
      </c>
      <c r="B59" s="10">
        <v>104</v>
      </c>
      <c r="C59" s="9">
        <v>110</v>
      </c>
      <c r="D59" s="9">
        <v>96</v>
      </c>
      <c r="E59" s="9">
        <v>86</v>
      </c>
      <c r="F59" s="9">
        <v>70</v>
      </c>
      <c r="G59" s="9">
        <v>126</v>
      </c>
      <c r="H59" s="9">
        <v>94</v>
      </c>
      <c r="I59" s="9">
        <v>96</v>
      </c>
      <c r="J59" s="9">
        <v>48</v>
      </c>
      <c r="K59" s="9">
        <v>96</v>
      </c>
      <c r="L59" s="9">
        <v>97</v>
      </c>
      <c r="M59" s="9">
        <v>80</v>
      </c>
      <c r="N59" s="9">
        <f t="shared" si="6"/>
        <v>1103</v>
      </c>
    </row>
    <row r="60" spans="1:14" s="1" customFormat="1" ht="12.75" hidden="1" customHeight="1" outlineLevel="1" x14ac:dyDescent="0.2">
      <c r="A60" s="11" t="s">
        <v>47</v>
      </c>
      <c r="B60" s="10">
        <v>22</v>
      </c>
      <c r="C60" s="9">
        <v>22</v>
      </c>
      <c r="D60" s="9">
        <v>22</v>
      </c>
      <c r="E60" s="9">
        <v>18</v>
      </c>
      <c r="F60" s="9">
        <v>18</v>
      </c>
      <c r="G60" s="9">
        <v>42</v>
      </c>
      <c r="H60" s="9">
        <v>18</v>
      </c>
      <c r="I60" s="9">
        <v>38</v>
      </c>
      <c r="J60" s="9">
        <v>26</v>
      </c>
      <c r="K60" s="9">
        <v>22</v>
      </c>
      <c r="L60" s="9">
        <v>30</v>
      </c>
      <c r="M60" s="9">
        <v>22</v>
      </c>
      <c r="N60" s="9">
        <f t="shared" si="6"/>
        <v>300</v>
      </c>
    </row>
    <row r="61" spans="1:14" s="1" customFormat="1" ht="12.75" hidden="1" customHeight="1" outlineLevel="1" x14ac:dyDescent="0.2">
      <c r="A61" s="11" t="s">
        <v>104</v>
      </c>
      <c r="B61" s="10">
        <v>2</v>
      </c>
      <c r="C61" s="9">
        <v>0</v>
      </c>
      <c r="D61" s="9">
        <v>2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2</v>
      </c>
      <c r="N61" s="9">
        <f t="shared" si="6"/>
        <v>6</v>
      </c>
    </row>
    <row r="62" spans="1:14" s="1" customFormat="1" ht="12.75" hidden="1" customHeight="1" outlineLevel="1" x14ac:dyDescent="0.2">
      <c r="A62" s="11" t="s">
        <v>92</v>
      </c>
      <c r="B62" s="10">
        <v>4</v>
      </c>
      <c r="C62" s="9">
        <v>4</v>
      </c>
      <c r="D62" s="9">
        <v>4</v>
      </c>
      <c r="E62" s="9">
        <v>2</v>
      </c>
      <c r="F62" s="9">
        <v>2</v>
      </c>
      <c r="G62" s="9">
        <v>4</v>
      </c>
      <c r="H62" s="9">
        <v>4</v>
      </c>
      <c r="I62" s="9">
        <v>4</v>
      </c>
      <c r="J62" s="9">
        <v>4</v>
      </c>
      <c r="K62" s="9">
        <v>0</v>
      </c>
      <c r="L62" s="9">
        <v>0</v>
      </c>
      <c r="M62" s="9">
        <v>0</v>
      </c>
      <c r="N62" s="9">
        <f t="shared" si="6"/>
        <v>32</v>
      </c>
    </row>
    <row r="63" spans="1:14" ht="12.75" hidden="1" customHeight="1" outlineLevel="1" x14ac:dyDescent="0.2">
      <c r="A63" s="11" t="s">
        <v>46</v>
      </c>
      <c r="B63" s="10">
        <v>12</v>
      </c>
      <c r="C63" s="9">
        <v>3</v>
      </c>
      <c r="D63" s="9">
        <v>21</v>
      </c>
      <c r="E63" s="9">
        <v>1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5</v>
      </c>
      <c r="L63" s="9">
        <v>4</v>
      </c>
      <c r="M63" s="9">
        <v>5</v>
      </c>
      <c r="N63" s="9">
        <f t="shared" si="6"/>
        <v>51</v>
      </c>
    </row>
    <row r="64" spans="1:14" ht="12.75" hidden="1" customHeight="1" outlineLevel="1" x14ac:dyDescent="0.2">
      <c r="A64" s="8" t="s">
        <v>38</v>
      </c>
      <c r="B64" s="10">
        <v>24</v>
      </c>
      <c r="C64" s="9">
        <v>24</v>
      </c>
      <c r="D64" s="9">
        <v>2</v>
      </c>
      <c r="E64" s="9">
        <v>12</v>
      </c>
      <c r="F64" s="9">
        <v>20</v>
      </c>
      <c r="G64" s="9">
        <v>16</v>
      </c>
      <c r="H64" s="9">
        <v>18</v>
      </c>
      <c r="I64" s="9">
        <v>12</v>
      </c>
      <c r="J64" s="9">
        <v>0</v>
      </c>
      <c r="K64" s="9">
        <v>0</v>
      </c>
      <c r="L64" s="9">
        <v>0</v>
      </c>
      <c r="M64" s="9">
        <v>4</v>
      </c>
      <c r="N64" s="9">
        <f t="shared" si="6"/>
        <v>132</v>
      </c>
    </row>
    <row r="65" spans="1:14" ht="12.75" hidden="1" customHeight="1" outlineLevel="1" x14ac:dyDescent="0.2">
      <c r="A65" s="8" t="s">
        <v>192</v>
      </c>
      <c r="B65" s="10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2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f t="shared" si="6"/>
        <v>2</v>
      </c>
    </row>
    <row r="66" spans="1:14" ht="12.75" hidden="1" customHeight="1" outlineLevel="1" x14ac:dyDescent="0.2">
      <c r="A66" s="8" t="s">
        <v>164</v>
      </c>
      <c r="B66" s="10">
        <v>0</v>
      </c>
      <c r="C66" s="9">
        <v>4</v>
      </c>
      <c r="D66" s="9">
        <v>10</v>
      </c>
      <c r="E66" s="9">
        <v>0</v>
      </c>
      <c r="F66" s="9">
        <v>2</v>
      </c>
      <c r="G66" s="9">
        <v>12</v>
      </c>
      <c r="H66" s="9">
        <v>0</v>
      </c>
      <c r="I66" s="9">
        <v>4</v>
      </c>
      <c r="J66" s="9">
        <v>0</v>
      </c>
      <c r="K66" s="9">
        <v>0</v>
      </c>
      <c r="L66" s="9">
        <v>8</v>
      </c>
      <c r="M66" s="9">
        <v>2</v>
      </c>
      <c r="N66" s="9">
        <f t="shared" si="6"/>
        <v>42</v>
      </c>
    </row>
    <row r="67" spans="1:14" ht="12.75" hidden="1" customHeight="1" outlineLevel="1" x14ac:dyDescent="0.2">
      <c r="A67" s="8" t="s">
        <v>187</v>
      </c>
      <c r="B67" s="10">
        <v>0</v>
      </c>
      <c r="C67" s="9">
        <v>0</v>
      </c>
      <c r="D67" s="9">
        <v>0</v>
      </c>
      <c r="E67" s="9">
        <v>0</v>
      </c>
      <c r="F67" s="9">
        <v>7</v>
      </c>
      <c r="G67" s="9">
        <v>24</v>
      </c>
      <c r="H67" s="9">
        <v>58</v>
      </c>
      <c r="I67" s="9">
        <v>48</v>
      </c>
      <c r="J67" s="9">
        <v>0</v>
      </c>
      <c r="K67" s="9">
        <v>0</v>
      </c>
      <c r="L67" s="9">
        <v>0</v>
      </c>
      <c r="M67" s="9">
        <v>0</v>
      </c>
      <c r="N67" s="9">
        <f t="shared" si="6"/>
        <v>137</v>
      </c>
    </row>
    <row r="68" spans="1:14" ht="12.75" hidden="1" customHeight="1" outlineLevel="1" x14ac:dyDescent="0.2">
      <c r="A68" s="8" t="s">
        <v>165</v>
      </c>
      <c r="B68" s="10">
        <v>0</v>
      </c>
      <c r="C68" s="9">
        <v>2</v>
      </c>
      <c r="D68" s="9">
        <v>0</v>
      </c>
      <c r="E68" s="9">
        <v>0</v>
      </c>
      <c r="F68" s="9">
        <v>1</v>
      </c>
      <c r="G68" s="9">
        <v>2</v>
      </c>
      <c r="H68" s="9">
        <v>3</v>
      </c>
      <c r="I68" s="9">
        <v>8</v>
      </c>
      <c r="J68" s="9">
        <v>13</v>
      </c>
      <c r="K68" s="9">
        <v>2</v>
      </c>
      <c r="L68" s="9">
        <v>2</v>
      </c>
      <c r="M68" s="9">
        <v>0</v>
      </c>
      <c r="N68" s="9">
        <f t="shared" si="6"/>
        <v>33</v>
      </c>
    </row>
    <row r="69" spans="1:14" ht="12.75" hidden="1" customHeight="1" outlineLevel="1" x14ac:dyDescent="0.2">
      <c r="A69" s="11" t="s">
        <v>113</v>
      </c>
      <c r="B69" s="10">
        <v>4</v>
      </c>
      <c r="C69" s="9">
        <v>2</v>
      </c>
      <c r="D69" s="9">
        <v>2</v>
      </c>
      <c r="E69" s="9">
        <v>3</v>
      </c>
      <c r="F69" s="9">
        <v>46</v>
      </c>
      <c r="G69" s="9">
        <v>89</v>
      </c>
      <c r="H69" s="9">
        <v>93</v>
      </c>
      <c r="I69" s="9">
        <v>38</v>
      </c>
      <c r="J69" s="9">
        <v>10</v>
      </c>
      <c r="K69" s="9">
        <v>9</v>
      </c>
      <c r="L69" s="9">
        <v>7</v>
      </c>
      <c r="M69" s="9">
        <v>10</v>
      </c>
      <c r="N69" s="9">
        <f t="shared" si="6"/>
        <v>313</v>
      </c>
    </row>
    <row r="70" spans="1:14" ht="12.75" hidden="1" customHeight="1" outlineLevel="1" x14ac:dyDescent="0.2">
      <c r="A70" s="11" t="s">
        <v>80</v>
      </c>
      <c r="B70" s="10">
        <v>28</v>
      </c>
      <c r="C70" s="9">
        <v>34</v>
      </c>
      <c r="D70" s="9">
        <v>34</v>
      </c>
      <c r="E70" s="9">
        <v>47</v>
      </c>
      <c r="F70" s="9">
        <v>50</v>
      </c>
      <c r="G70" s="9">
        <v>60</v>
      </c>
      <c r="H70" s="9">
        <v>70</v>
      </c>
      <c r="I70" s="9">
        <v>38</v>
      </c>
      <c r="J70" s="9">
        <v>16</v>
      </c>
      <c r="K70" s="9">
        <v>18</v>
      </c>
      <c r="L70" s="9">
        <v>20</v>
      </c>
      <c r="M70" s="9">
        <v>0</v>
      </c>
      <c r="N70" s="9">
        <f t="shared" si="6"/>
        <v>415</v>
      </c>
    </row>
    <row r="71" spans="1:14" ht="12.75" hidden="1" customHeight="1" outlineLevel="1" x14ac:dyDescent="0.2">
      <c r="A71" s="14" t="s">
        <v>202</v>
      </c>
      <c r="B71" s="10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2</v>
      </c>
      <c r="M71" s="9">
        <v>0</v>
      </c>
      <c r="N71" s="9">
        <f t="shared" si="6"/>
        <v>2</v>
      </c>
    </row>
    <row r="72" spans="1:14" ht="12.75" hidden="1" customHeight="1" outlineLevel="1" x14ac:dyDescent="0.2">
      <c r="A72" s="11" t="s">
        <v>25</v>
      </c>
      <c r="B72" s="10">
        <v>26</v>
      </c>
      <c r="C72" s="9">
        <v>12</v>
      </c>
      <c r="D72" s="9">
        <v>34</v>
      </c>
      <c r="E72" s="9">
        <v>18</v>
      </c>
      <c r="F72" s="9">
        <v>18</v>
      </c>
      <c r="G72" s="9">
        <v>38</v>
      </c>
      <c r="H72" s="9">
        <v>32</v>
      </c>
      <c r="I72" s="9">
        <v>38</v>
      </c>
      <c r="J72" s="9">
        <v>34</v>
      </c>
      <c r="K72" s="9">
        <v>14</v>
      </c>
      <c r="L72" s="9">
        <v>52</v>
      </c>
      <c r="M72" s="9">
        <v>42</v>
      </c>
      <c r="N72" s="9">
        <f t="shared" si="6"/>
        <v>358</v>
      </c>
    </row>
    <row r="73" spans="1:14" ht="12.75" hidden="1" customHeight="1" outlineLevel="1" x14ac:dyDescent="0.2">
      <c r="A73" s="11" t="s">
        <v>107</v>
      </c>
      <c r="B73" s="10">
        <v>18</v>
      </c>
      <c r="C73" s="9">
        <v>14</v>
      </c>
      <c r="D73" s="9">
        <v>16</v>
      </c>
      <c r="E73" s="9">
        <v>2</v>
      </c>
      <c r="F73" s="9">
        <v>12</v>
      </c>
      <c r="G73" s="9">
        <v>11</v>
      </c>
      <c r="H73" s="9">
        <v>6</v>
      </c>
      <c r="I73" s="9">
        <v>4</v>
      </c>
      <c r="J73" s="9">
        <v>10</v>
      </c>
      <c r="K73" s="9">
        <v>5</v>
      </c>
      <c r="L73" s="9">
        <v>10</v>
      </c>
      <c r="M73" s="9">
        <v>8</v>
      </c>
      <c r="N73" s="9">
        <f t="shared" si="6"/>
        <v>116</v>
      </c>
    </row>
    <row r="74" spans="1:14" ht="12.75" hidden="1" customHeight="1" outlineLevel="1" x14ac:dyDescent="0.2">
      <c r="A74" s="31" t="s">
        <v>90</v>
      </c>
      <c r="B74" s="10">
        <v>0</v>
      </c>
      <c r="C74" s="9">
        <v>0</v>
      </c>
      <c r="D74" s="9">
        <v>0</v>
      </c>
      <c r="E74" s="9">
        <v>6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f t="shared" si="6"/>
        <v>6</v>
      </c>
    </row>
    <row r="75" spans="1:14" collapsed="1" x14ac:dyDescent="0.2">
      <c r="A75" s="22" t="s">
        <v>55</v>
      </c>
      <c r="B75" s="33">
        <f t="shared" ref="B75:N75" si="7">SUM(B76:B79)</f>
        <v>409</v>
      </c>
      <c r="C75" s="33">
        <f t="shared" si="7"/>
        <v>349</v>
      </c>
      <c r="D75" s="33">
        <f t="shared" si="7"/>
        <v>362</v>
      </c>
      <c r="E75" s="33">
        <f t="shared" si="7"/>
        <v>204</v>
      </c>
      <c r="F75" s="33">
        <f t="shared" si="7"/>
        <v>131</v>
      </c>
      <c r="G75" s="33">
        <f t="shared" si="7"/>
        <v>100</v>
      </c>
      <c r="H75" s="33">
        <f t="shared" si="7"/>
        <v>114</v>
      </c>
      <c r="I75" s="33">
        <f t="shared" si="7"/>
        <v>97</v>
      </c>
      <c r="J75" s="33">
        <f t="shared" si="7"/>
        <v>56</v>
      </c>
      <c r="K75" s="33">
        <f t="shared" si="7"/>
        <v>88</v>
      </c>
      <c r="L75" s="33">
        <f t="shared" si="7"/>
        <v>59</v>
      </c>
      <c r="M75" s="33">
        <f t="shared" si="7"/>
        <v>237</v>
      </c>
      <c r="N75" s="33">
        <f t="shared" si="7"/>
        <v>2206</v>
      </c>
    </row>
    <row r="76" spans="1:14" ht="12.75" hidden="1" customHeight="1" outlineLevel="1" x14ac:dyDescent="0.2">
      <c r="A76" s="11" t="s">
        <v>68</v>
      </c>
      <c r="B76" s="10">
        <v>262</v>
      </c>
      <c r="C76" s="9">
        <v>233</v>
      </c>
      <c r="D76" s="9">
        <v>227</v>
      </c>
      <c r="E76" s="9">
        <v>122</v>
      </c>
      <c r="F76" s="9">
        <v>91</v>
      </c>
      <c r="G76" s="9">
        <v>84</v>
      </c>
      <c r="H76" s="9">
        <v>94</v>
      </c>
      <c r="I76" s="9">
        <v>73</v>
      </c>
      <c r="J76" s="9">
        <v>40</v>
      </c>
      <c r="K76" s="9">
        <v>66</v>
      </c>
      <c r="L76" s="9">
        <v>51</v>
      </c>
      <c r="M76" s="9">
        <v>154</v>
      </c>
      <c r="N76" s="9">
        <f>SUM(B76:M76)</f>
        <v>1497</v>
      </c>
    </row>
    <row r="77" spans="1:14" ht="12.75" hidden="1" customHeight="1" outlineLevel="1" x14ac:dyDescent="0.2">
      <c r="A77" s="11" t="s">
        <v>45</v>
      </c>
      <c r="B77" s="10">
        <v>17</v>
      </c>
      <c r="C77" s="9">
        <v>16</v>
      </c>
      <c r="D77" s="9">
        <v>20</v>
      </c>
      <c r="E77" s="9">
        <v>23</v>
      </c>
      <c r="F77" s="9">
        <v>2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f t="shared" ref="N77:N79" si="8">SUM(B77:M77)</f>
        <v>78</v>
      </c>
    </row>
    <row r="78" spans="1:14" ht="12.75" hidden="1" customHeight="1" outlineLevel="1" x14ac:dyDescent="0.2">
      <c r="A78" s="11" t="s">
        <v>77</v>
      </c>
      <c r="B78" s="10">
        <v>4</v>
      </c>
      <c r="C78" s="9">
        <v>0</v>
      </c>
      <c r="D78" s="9">
        <v>0</v>
      </c>
      <c r="E78" s="9">
        <v>4</v>
      </c>
      <c r="F78" s="9">
        <v>4</v>
      </c>
      <c r="G78" s="9">
        <v>0</v>
      </c>
      <c r="H78" s="9">
        <v>4</v>
      </c>
      <c r="I78" s="9">
        <v>2</v>
      </c>
      <c r="J78" s="9">
        <v>0</v>
      </c>
      <c r="K78" s="9">
        <v>0</v>
      </c>
      <c r="L78" s="9">
        <v>2</v>
      </c>
      <c r="M78" s="9">
        <v>0</v>
      </c>
      <c r="N78" s="9">
        <f t="shared" si="8"/>
        <v>20</v>
      </c>
    </row>
    <row r="79" spans="1:14" ht="12.75" hidden="1" customHeight="1" outlineLevel="1" x14ac:dyDescent="0.2">
      <c r="A79" s="13" t="s">
        <v>69</v>
      </c>
      <c r="B79" s="10">
        <v>126</v>
      </c>
      <c r="C79" s="9">
        <v>100</v>
      </c>
      <c r="D79" s="9">
        <v>115</v>
      </c>
      <c r="E79" s="9">
        <v>55</v>
      </c>
      <c r="F79" s="9">
        <v>34</v>
      </c>
      <c r="G79" s="9">
        <v>16</v>
      </c>
      <c r="H79" s="9">
        <v>16</v>
      </c>
      <c r="I79" s="9">
        <v>22</v>
      </c>
      <c r="J79" s="9">
        <v>16</v>
      </c>
      <c r="K79" s="9">
        <v>22</v>
      </c>
      <c r="L79" s="9">
        <v>6</v>
      </c>
      <c r="M79" s="9">
        <v>83</v>
      </c>
      <c r="N79" s="9">
        <f t="shared" si="8"/>
        <v>611</v>
      </c>
    </row>
    <row r="80" spans="1:14" ht="25.5" collapsed="1" x14ac:dyDescent="0.2">
      <c r="A80" s="22" t="s">
        <v>128</v>
      </c>
      <c r="B80" s="33">
        <f t="shared" ref="B80:N80" si="9">SUM(B81:B86)</f>
        <v>38</v>
      </c>
      <c r="C80" s="33">
        <f t="shared" si="9"/>
        <v>12</v>
      </c>
      <c r="D80" s="33">
        <f t="shared" si="9"/>
        <v>19</v>
      </c>
      <c r="E80" s="33">
        <f t="shared" si="9"/>
        <v>22</v>
      </c>
      <c r="F80" s="33">
        <f t="shared" si="9"/>
        <v>2</v>
      </c>
      <c r="G80" s="33">
        <f t="shared" si="9"/>
        <v>22</v>
      </c>
      <c r="H80" s="33">
        <f t="shared" si="9"/>
        <v>14</v>
      </c>
      <c r="I80" s="33">
        <f t="shared" si="9"/>
        <v>3</v>
      </c>
      <c r="J80" s="33">
        <f t="shared" si="9"/>
        <v>1</v>
      </c>
      <c r="K80" s="33">
        <f t="shared" si="9"/>
        <v>4</v>
      </c>
      <c r="L80" s="33">
        <f t="shared" si="9"/>
        <v>4</v>
      </c>
      <c r="M80" s="33">
        <f t="shared" si="9"/>
        <v>5</v>
      </c>
      <c r="N80" s="33">
        <f t="shared" si="9"/>
        <v>146</v>
      </c>
    </row>
    <row r="81" spans="1:14" hidden="1" outlineLevel="1" x14ac:dyDescent="0.2">
      <c r="A81" s="16" t="s">
        <v>34</v>
      </c>
      <c r="B81" s="10">
        <v>17</v>
      </c>
      <c r="C81" s="9">
        <v>10</v>
      </c>
      <c r="D81" s="9">
        <v>15</v>
      </c>
      <c r="E81" s="9">
        <v>14</v>
      </c>
      <c r="F81" s="9">
        <v>2</v>
      </c>
      <c r="G81" s="9">
        <v>13</v>
      </c>
      <c r="H81" s="9">
        <v>0</v>
      </c>
      <c r="I81" s="9">
        <v>0</v>
      </c>
      <c r="J81" s="9">
        <v>0</v>
      </c>
      <c r="K81" s="9">
        <v>2</v>
      </c>
      <c r="L81" s="9">
        <v>0</v>
      </c>
      <c r="M81" s="9">
        <v>1</v>
      </c>
      <c r="N81" s="9">
        <f>SUM(B81:M81)</f>
        <v>74</v>
      </c>
    </row>
    <row r="82" spans="1:14" hidden="1" outlineLevel="1" x14ac:dyDescent="0.2">
      <c r="A82" s="16" t="s">
        <v>76</v>
      </c>
      <c r="B82" s="10">
        <v>0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1</v>
      </c>
      <c r="M82" s="9">
        <v>0</v>
      </c>
      <c r="N82" s="9">
        <f t="shared" ref="N82:N83" si="10">SUM(B82:M82)</f>
        <v>1</v>
      </c>
    </row>
    <row r="83" spans="1:14" hidden="1" outlineLevel="1" x14ac:dyDescent="0.2">
      <c r="A83" s="19" t="s">
        <v>31</v>
      </c>
      <c r="B83" s="10">
        <v>3</v>
      </c>
      <c r="C83" s="9">
        <v>0</v>
      </c>
      <c r="D83" s="9">
        <v>2</v>
      </c>
      <c r="E83" s="9">
        <v>0</v>
      </c>
      <c r="F83" s="9">
        <v>0</v>
      </c>
      <c r="G83" s="9">
        <v>8</v>
      </c>
      <c r="H83" s="9">
        <v>0</v>
      </c>
      <c r="I83" s="9">
        <v>0</v>
      </c>
      <c r="J83" s="9">
        <v>1</v>
      </c>
      <c r="K83" s="9">
        <v>2</v>
      </c>
      <c r="L83" s="9">
        <v>3</v>
      </c>
      <c r="M83" s="9">
        <v>0</v>
      </c>
      <c r="N83" s="9">
        <f t="shared" si="10"/>
        <v>19</v>
      </c>
    </row>
    <row r="84" spans="1:14" hidden="1" outlineLevel="1" x14ac:dyDescent="0.2">
      <c r="A84" s="16" t="s">
        <v>32</v>
      </c>
      <c r="B84" s="10">
        <v>13</v>
      </c>
      <c r="C84" s="9">
        <v>0</v>
      </c>
      <c r="D84" s="9">
        <v>1</v>
      </c>
      <c r="E84" s="9">
        <v>3</v>
      </c>
      <c r="F84" s="9">
        <v>0</v>
      </c>
      <c r="G84" s="9">
        <v>1</v>
      </c>
      <c r="H84" s="9">
        <v>11</v>
      </c>
      <c r="I84" s="9">
        <v>0</v>
      </c>
      <c r="J84" s="9">
        <v>0</v>
      </c>
      <c r="K84" s="9">
        <v>0</v>
      </c>
      <c r="L84" s="9">
        <v>0</v>
      </c>
      <c r="M84" s="9">
        <v>4</v>
      </c>
      <c r="N84" s="9">
        <f t="shared" ref="N84:N86" si="11">SUM(B84:M84)</f>
        <v>33</v>
      </c>
    </row>
    <row r="85" spans="1:14" hidden="1" outlineLevel="1" x14ac:dyDescent="0.2">
      <c r="A85" s="16" t="s">
        <v>36</v>
      </c>
      <c r="B85" s="10">
        <v>0</v>
      </c>
      <c r="C85" s="9">
        <v>2</v>
      </c>
      <c r="D85" s="9">
        <v>1</v>
      </c>
      <c r="E85" s="9">
        <v>5</v>
      </c>
      <c r="F85" s="9">
        <v>0</v>
      </c>
      <c r="G85" s="9">
        <v>0</v>
      </c>
      <c r="H85" s="9">
        <v>1</v>
      </c>
      <c r="I85" s="9">
        <v>3</v>
      </c>
      <c r="J85" s="9">
        <v>0</v>
      </c>
      <c r="K85" s="9">
        <v>0</v>
      </c>
      <c r="L85" s="9">
        <v>0</v>
      </c>
      <c r="M85" s="9">
        <v>0</v>
      </c>
      <c r="N85" s="9">
        <f t="shared" si="11"/>
        <v>12</v>
      </c>
    </row>
    <row r="86" spans="1:14" hidden="1" outlineLevel="1" x14ac:dyDescent="0.2">
      <c r="A86" s="17" t="s">
        <v>74</v>
      </c>
      <c r="B86" s="10">
        <v>5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2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f t="shared" si="11"/>
        <v>7</v>
      </c>
    </row>
    <row r="87" spans="1:14" collapsed="1" x14ac:dyDescent="0.2">
      <c r="A87" s="22" t="s">
        <v>54</v>
      </c>
      <c r="B87" s="33">
        <f t="shared" ref="B87" si="12">SUM(B88:B103)</f>
        <v>236</v>
      </c>
      <c r="C87" s="33">
        <f t="shared" ref="C87" si="13">SUM(C88:C103)</f>
        <v>188</v>
      </c>
      <c r="D87" s="33">
        <f t="shared" ref="D87" si="14">SUM(D88:D103)</f>
        <v>200</v>
      </c>
      <c r="E87" s="33">
        <f t="shared" ref="E87" si="15">SUM(E88:E103)</f>
        <v>147</v>
      </c>
      <c r="F87" s="33">
        <f t="shared" ref="F87" si="16">SUM(F88:F103)</f>
        <v>167</v>
      </c>
      <c r="G87" s="33">
        <f t="shared" ref="G87" si="17">SUM(G88:G103)</f>
        <v>164</v>
      </c>
      <c r="H87" s="33">
        <f t="shared" ref="H87" si="18">SUM(H88:H103)</f>
        <v>172</v>
      </c>
      <c r="I87" s="33">
        <f t="shared" ref="I87" si="19">SUM(I88:I103)</f>
        <v>166</v>
      </c>
      <c r="J87" s="33">
        <f t="shared" ref="J87" si="20">SUM(J88:J103)</f>
        <v>166</v>
      </c>
      <c r="K87" s="33">
        <f t="shared" ref="K87" si="21">SUM(K88:K103)</f>
        <v>166</v>
      </c>
      <c r="L87" s="33">
        <f t="shared" ref="L87" si="22">SUM(L88:L103)</f>
        <v>176</v>
      </c>
      <c r="M87" s="33">
        <f t="shared" ref="M87" si="23">SUM(M88:M103)</f>
        <v>197</v>
      </c>
      <c r="N87" s="33">
        <f t="shared" ref="N87" si="24">SUM(N88:N103)</f>
        <v>2145</v>
      </c>
    </row>
    <row r="88" spans="1:14" hidden="1" outlineLevel="1" x14ac:dyDescent="0.2">
      <c r="A88" s="11" t="s">
        <v>114</v>
      </c>
      <c r="B88" s="10">
        <v>8</v>
      </c>
      <c r="C88" s="9">
        <v>8</v>
      </c>
      <c r="D88" s="9">
        <v>8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f t="shared" ref="N88:N103" si="25">SUM(B88:M88)</f>
        <v>24</v>
      </c>
    </row>
    <row r="89" spans="1:14" hidden="1" outlineLevel="1" x14ac:dyDescent="0.2">
      <c r="A89" s="11" t="s">
        <v>115</v>
      </c>
      <c r="B89" s="10">
        <v>8</v>
      </c>
      <c r="C89" s="9">
        <v>8</v>
      </c>
      <c r="D89" s="9">
        <v>10</v>
      </c>
      <c r="E89" s="9">
        <v>0</v>
      </c>
      <c r="F89" s="9">
        <v>1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3</v>
      </c>
      <c r="N89" s="9">
        <f t="shared" si="25"/>
        <v>30</v>
      </c>
    </row>
    <row r="90" spans="1:14" hidden="1" outlineLevel="1" x14ac:dyDescent="0.2">
      <c r="A90" s="11" t="s">
        <v>96</v>
      </c>
      <c r="B90" s="10">
        <v>16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6</v>
      </c>
      <c r="M90" s="9">
        <v>6</v>
      </c>
      <c r="N90" s="9">
        <f t="shared" si="25"/>
        <v>28</v>
      </c>
    </row>
    <row r="91" spans="1:14" hidden="1" outlineLevel="1" x14ac:dyDescent="0.2">
      <c r="A91" s="11" t="s">
        <v>101</v>
      </c>
      <c r="B91" s="10">
        <v>4</v>
      </c>
      <c r="C91" s="9">
        <v>4</v>
      </c>
      <c r="D91" s="9">
        <v>3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f t="shared" si="25"/>
        <v>11</v>
      </c>
    </row>
    <row r="92" spans="1:14" hidden="1" outlineLevel="1" x14ac:dyDescent="0.2">
      <c r="A92" s="11" t="s">
        <v>177</v>
      </c>
      <c r="B92" s="10">
        <v>0</v>
      </c>
      <c r="C92" s="9">
        <v>0</v>
      </c>
      <c r="D92" s="9">
        <v>1</v>
      </c>
      <c r="E92" s="9">
        <v>8</v>
      </c>
      <c r="F92" s="9">
        <v>8</v>
      </c>
      <c r="G92" s="9">
        <v>10</v>
      </c>
      <c r="H92" s="9">
        <v>10</v>
      </c>
      <c r="I92" s="9">
        <v>8</v>
      </c>
      <c r="J92" s="9">
        <v>10</v>
      </c>
      <c r="K92" s="9">
        <v>10</v>
      </c>
      <c r="L92" s="9">
        <v>10</v>
      </c>
      <c r="M92" s="9">
        <v>8</v>
      </c>
      <c r="N92" s="9">
        <f t="shared" si="25"/>
        <v>83</v>
      </c>
    </row>
    <row r="93" spans="1:14" hidden="1" outlineLevel="1" x14ac:dyDescent="0.2">
      <c r="A93" s="11" t="s">
        <v>98</v>
      </c>
      <c r="B93" s="10">
        <v>14</v>
      </c>
      <c r="C93" s="9">
        <v>12</v>
      </c>
      <c r="D93" s="9">
        <v>11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8</v>
      </c>
      <c r="M93" s="9">
        <v>8</v>
      </c>
      <c r="N93" s="9">
        <f t="shared" si="25"/>
        <v>53</v>
      </c>
    </row>
    <row r="94" spans="1:14" hidden="1" outlineLevel="1" x14ac:dyDescent="0.2">
      <c r="A94" s="11" t="s">
        <v>91</v>
      </c>
      <c r="B94" s="10">
        <v>2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f t="shared" si="25"/>
        <v>2</v>
      </c>
    </row>
    <row r="95" spans="1:14" hidden="1" outlineLevel="1" x14ac:dyDescent="0.2">
      <c r="A95" s="11" t="s">
        <v>49</v>
      </c>
      <c r="B95" s="10">
        <v>14</v>
      </c>
      <c r="C95" s="9">
        <v>12</v>
      </c>
      <c r="D95" s="9">
        <v>9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4</v>
      </c>
      <c r="M95" s="9">
        <v>8</v>
      </c>
      <c r="N95" s="9">
        <f t="shared" si="25"/>
        <v>47</v>
      </c>
    </row>
    <row r="96" spans="1:14" hidden="1" outlineLevel="1" x14ac:dyDescent="0.2">
      <c r="A96" s="7" t="s">
        <v>43</v>
      </c>
      <c r="B96" s="10">
        <v>118</v>
      </c>
      <c r="C96" s="9">
        <v>104</v>
      </c>
      <c r="D96" s="9">
        <v>0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f t="shared" si="25"/>
        <v>222</v>
      </c>
    </row>
    <row r="97" spans="1:14" hidden="1" outlineLevel="1" x14ac:dyDescent="0.2">
      <c r="A97" s="36" t="s">
        <v>176</v>
      </c>
      <c r="B97" s="10">
        <v>0</v>
      </c>
      <c r="C97" s="9">
        <v>0</v>
      </c>
      <c r="D97" s="9">
        <v>114</v>
      </c>
      <c r="E97" s="9">
        <v>130</v>
      </c>
      <c r="F97" s="9">
        <v>158</v>
      </c>
      <c r="G97" s="9">
        <v>154</v>
      </c>
      <c r="H97" s="9">
        <v>160</v>
      </c>
      <c r="I97" s="9">
        <v>158</v>
      </c>
      <c r="J97" s="9">
        <v>156</v>
      </c>
      <c r="K97" s="9">
        <v>156</v>
      </c>
      <c r="L97" s="9">
        <v>120</v>
      </c>
      <c r="M97" s="9">
        <v>115</v>
      </c>
      <c r="N97" s="9">
        <f t="shared" si="25"/>
        <v>1421</v>
      </c>
    </row>
    <row r="98" spans="1:14" hidden="1" outlineLevel="1" x14ac:dyDescent="0.2">
      <c r="A98" s="12" t="s">
        <v>72</v>
      </c>
      <c r="B98" s="10">
        <v>8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f t="shared" si="25"/>
        <v>8</v>
      </c>
    </row>
    <row r="99" spans="1:14" hidden="1" outlineLevel="1" x14ac:dyDescent="0.2">
      <c r="A99" s="11" t="s">
        <v>21</v>
      </c>
      <c r="B99" s="10">
        <v>10</v>
      </c>
      <c r="C99" s="9">
        <v>8</v>
      </c>
      <c r="D99" s="9">
        <v>9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6</v>
      </c>
      <c r="M99" s="9">
        <v>6</v>
      </c>
      <c r="N99" s="9">
        <f t="shared" si="25"/>
        <v>39</v>
      </c>
    </row>
    <row r="100" spans="1:14" hidden="1" outlineLevel="1" x14ac:dyDescent="0.2">
      <c r="A100" s="11" t="s">
        <v>97</v>
      </c>
      <c r="B100" s="10">
        <v>8</v>
      </c>
      <c r="C100" s="9">
        <v>8</v>
      </c>
      <c r="D100" s="9">
        <v>10</v>
      </c>
      <c r="E100" s="9">
        <v>6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f t="shared" si="25"/>
        <v>32</v>
      </c>
    </row>
    <row r="101" spans="1:14" s="1" customFormat="1" hidden="1" outlineLevel="1" x14ac:dyDescent="0.2">
      <c r="A101" s="12" t="s">
        <v>71</v>
      </c>
      <c r="B101" s="10">
        <v>26</v>
      </c>
      <c r="C101" s="9">
        <v>24</v>
      </c>
      <c r="D101" s="9">
        <v>25</v>
      </c>
      <c r="E101" s="9">
        <v>3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10</v>
      </c>
      <c r="M101" s="9">
        <v>25</v>
      </c>
      <c r="N101" s="9">
        <f t="shared" si="25"/>
        <v>113</v>
      </c>
    </row>
    <row r="102" spans="1:14" s="1" customFormat="1" hidden="1" outlineLevel="1" x14ac:dyDescent="0.2">
      <c r="A102" s="14" t="s">
        <v>201</v>
      </c>
      <c r="B102" s="10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12</v>
      </c>
      <c r="M102" s="9">
        <v>18</v>
      </c>
      <c r="N102" s="9">
        <f t="shared" si="25"/>
        <v>30</v>
      </c>
    </row>
    <row r="103" spans="1:14" s="1" customFormat="1" hidden="1" outlineLevel="1" x14ac:dyDescent="0.2">
      <c r="A103" s="12" t="s">
        <v>193</v>
      </c>
      <c r="B103" s="10">
        <v>0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2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f t="shared" si="25"/>
        <v>2</v>
      </c>
    </row>
    <row r="104" spans="1:14" collapsed="1" x14ac:dyDescent="0.2">
      <c r="A104" s="22" t="s">
        <v>100</v>
      </c>
      <c r="B104" s="33">
        <f t="shared" ref="B104:N104" si="26">SUM(B105:B105)</f>
        <v>16</v>
      </c>
      <c r="C104" s="33">
        <f t="shared" si="26"/>
        <v>12</v>
      </c>
      <c r="D104" s="33">
        <f t="shared" si="26"/>
        <v>16</v>
      </c>
      <c r="E104" s="33">
        <f t="shared" si="26"/>
        <v>18</v>
      </c>
      <c r="F104" s="33">
        <f t="shared" si="26"/>
        <v>16</v>
      </c>
      <c r="G104" s="33">
        <f t="shared" si="26"/>
        <v>16</v>
      </c>
      <c r="H104" s="33">
        <f t="shared" si="26"/>
        <v>0</v>
      </c>
      <c r="I104" s="33">
        <f t="shared" si="26"/>
        <v>0</v>
      </c>
      <c r="J104" s="33">
        <f t="shared" si="26"/>
        <v>0</v>
      </c>
      <c r="K104" s="33">
        <f t="shared" si="26"/>
        <v>0</v>
      </c>
      <c r="L104" s="33">
        <f t="shared" si="26"/>
        <v>0</v>
      </c>
      <c r="M104" s="33">
        <f t="shared" si="26"/>
        <v>0</v>
      </c>
      <c r="N104" s="33">
        <f t="shared" si="26"/>
        <v>94</v>
      </c>
    </row>
    <row r="105" spans="1:14" hidden="1" outlineLevel="1" x14ac:dyDescent="0.2">
      <c r="A105" s="31" t="s">
        <v>136</v>
      </c>
      <c r="B105" s="10">
        <v>16</v>
      </c>
      <c r="C105" s="9">
        <v>12</v>
      </c>
      <c r="D105" s="9">
        <v>16</v>
      </c>
      <c r="E105" s="9">
        <v>18</v>
      </c>
      <c r="F105" s="9">
        <v>16</v>
      </c>
      <c r="G105" s="9">
        <v>16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f t="shared" ref="N105" si="27">SUM(B105:M105)</f>
        <v>94</v>
      </c>
    </row>
    <row r="106" spans="1:14" collapsed="1" x14ac:dyDescent="0.2">
      <c r="A106" s="20" t="s">
        <v>0</v>
      </c>
      <c r="B106" s="21">
        <f t="shared" ref="B106:N106" si="28">B44+B75+B80+B87+B104</f>
        <v>972</v>
      </c>
      <c r="C106" s="21">
        <f t="shared" si="28"/>
        <v>919</v>
      </c>
      <c r="D106" s="21">
        <f t="shared" si="28"/>
        <v>981</v>
      </c>
      <c r="E106" s="21">
        <f t="shared" si="28"/>
        <v>701</v>
      </c>
      <c r="F106" s="21">
        <f t="shared" si="28"/>
        <v>655</v>
      </c>
      <c r="G106" s="21">
        <f t="shared" si="28"/>
        <v>840</v>
      </c>
      <c r="H106" s="21">
        <f t="shared" si="28"/>
        <v>791</v>
      </c>
      <c r="I106" s="21">
        <f t="shared" si="28"/>
        <v>667</v>
      </c>
      <c r="J106" s="21">
        <f t="shared" si="28"/>
        <v>448</v>
      </c>
      <c r="K106" s="21">
        <f t="shared" si="28"/>
        <v>510</v>
      </c>
      <c r="L106" s="21">
        <f t="shared" si="28"/>
        <v>558</v>
      </c>
      <c r="M106" s="21">
        <f t="shared" si="28"/>
        <v>716</v>
      </c>
      <c r="N106" s="21">
        <f t="shared" si="28"/>
        <v>8758</v>
      </c>
    </row>
    <row r="108" spans="1:14" x14ac:dyDescent="0.2"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</row>
  </sheetData>
  <sortState ref="A36:N57">
    <sortCondition ref="A36"/>
  </sortState>
  <pageMargins left="0.75" right="0.75" top="1" bottom="1" header="0" footer="0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"/>
  <sheetViews>
    <sheetView zoomScale="80" zoomScaleNormal="80" workbookViewId="0">
      <pane xSplit="1" topLeftCell="B1" activePane="topRight" state="frozen"/>
      <selection pane="topRight" activeCell="B1" sqref="B1"/>
    </sheetView>
  </sheetViews>
  <sheetFormatPr baseColWidth="10" defaultRowHeight="12.75" outlineLevelRow="1" x14ac:dyDescent="0.2"/>
  <cols>
    <col min="1" max="1" width="47.140625" customWidth="1"/>
    <col min="2" max="14" width="14.28515625" customWidth="1"/>
  </cols>
  <sheetData>
    <row r="1" spans="1:14" ht="15.75" x14ac:dyDescent="0.25">
      <c r="B1" s="25" t="s">
        <v>116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30">
        <v>2015</v>
      </c>
    </row>
    <row r="2" spans="1:14" x14ac:dyDescent="0.2">
      <c r="B2" s="26" t="s">
        <v>137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4" ht="15" x14ac:dyDescent="0.25">
      <c r="B3" s="27" t="s">
        <v>133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4" x14ac:dyDescent="0.2">
      <c r="B4" s="28" t="s">
        <v>134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1:14" x14ac:dyDescent="0.2">
      <c r="A5" s="3"/>
    </row>
    <row r="6" spans="1:14" x14ac:dyDescent="0.2">
      <c r="A6" s="23" t="s">
        <v>82</v>
      </c>
      <c r="B6" s="23" t="s">
        <v>83</v>
      </c>
      <c r="C6" s="23" t="s">
        <v>84</v>
      </c>
      <c r="D6" s="23" t="s">
        <v>118</v>
      </c>
      <c r="E6" s="23" t="s">
        <v>85</v>
      </c>
      <c r="F6" s="23" t="s">
        <v>86</v>
      </c>
      <c r="G6" s="23" t="s">
        <v>87</v>
      </c>
      <c r="H6" s="23" t="s">
        <v>119</v>
      </c>
      <c r="I6" s="23" t="s">
        <v>120</v>
      </c>
      <c r="J6" s="23" t="s">
        <v>121</v>
      </c>
      <c r="K6" s="23" t="s">
        <v>122</v>
      </c>
      <c r="L6" s="23" t="s">
        <v>123</v>
      </c>
      <c r="M6" s="23" t="s">
        <v>124</v>
      </c>
      <c r="N6" s="23" t="s">
        <v>125</v>
      </c>
    </row>
    <row r="7" spans="1:14" x14ac:dyDescent="0.2">
      <c r="A7" s="14" t="s">
        <v>108</v>
      </c>
      <c r="B7" s="10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899</v>
      </c>
      <c r="M7" s="9">
        <v>1230</v>
      </c>
      <c r="N7" s="9">
        <f t="shared" ref="N7:N14" si="0">SUM(B7:M7)</f>
        <v>2129</v>
      </c>
    </row>
    <row r="8" spans="1:14" x14ac:dyDescent="0.2">
      <c r="A8" s="14" t="s">
        <v>42</v>
      </c>
      <c r="B8" s="10">
        <v>896</v>
      </c>
      <c r="C8" s="9">
        <v>529</v>
      </c>
      <c r="D8" s="9">
        <v>1519</v>
      </c>
      <c r="E8" s="9">
        <v>899</v>
      </c>
      <c r="F8" s="9">
        <v>1279</v>
      </c>
      <c r="G8" s="9">
        <v>2152</v>
      </c>
      <c r="H8" s="9">
        <v>4158</v>
      </c>
      <c r="I8" s="9">
        <v>2579</v>
      </c>
      <c r="J8" s="9">
        <v>267</v>
      </c>
      <c r="K8" s="9">
        <v>747</v>
      </c>
      <c r="L8" s="9">
        <v>4341</v>
      </c>
      <c r="M8" s="9">
        <v>3663</v>
      </c>
      <c r="N8" s="9">
        <f t="shared" si="0"/>
        <v>23029</v>
      </c>
    </row>
    <row r="9" spans="1:14" x14ac:dyDescent="0.2">
      <c r="A9" s="2" t="s">
        <v>4</v>
      </c>
      <c r="B9" s="10">
        <v>367</v>
      </c>
      <c r="C9" s="9">
        <v>510</v>
      </c>
      <c r="D9" s="9">
        <v>419</v>
      </c>
      <c r="E9" s="9">
        <v>513</v>
      </c>
      <c r="F9" s="9">
        <v>425</v>
      </c>
      <c r="G9" s="9">
        <v>243</v>
      </c>
      <c r="H9" s="9">
        <v>131</v>
      </c>
      <c r="I9" s="9">
        <v>499</v>
      </c>
      <c r="J9" s="9">
        <v>279</v>
      </c>
      <c r="K9" s="9">
        <v>344</v>
      </c>
      <c r="L9" s="9">
        <v>387</v>
      </c>
      <c r="M9" s="9">
        <v>0</v>
      </c>
      <c r="N9" s="9">
        <f t="shared" si="0"/>
        <v>4117</v>
      </c>
    </row>
    <row r="10" spans="1:14" s="1" customFormat="1" x14ac:dyDescent="0.2">
      <c r="A10" s="2" t="s">
        <v>2</v>
      </c>
      <c r="B10" s="10">
        <v>781</v>
      </c>
      <c r="C10" s="9">
        <v>394</v>
      </c>
      <c r="D10" s="9">
        <v>1273</v>
      </c>
      <c r="E10" s="9">
        <v>572</v>
      </c>
      <c r="F10" s="9">
        <v>2544</v>
      </c>
      <c r="G10" s="9">
        <v>2477</v>
      </c>
      <c r="H10" s="9">
        <v>2042</v>
      </c>
      <c r="I10" s="9">
        <v>272</v>
      </c>
      <c r="J10" s="9">
        <v>663</v>
      </c>
      <c r="K10" s="9">
        <v>1324</v>
      </c>
      <c r="L10" s="9">
        <v>1492</v>
      </c>
      <c r="M10" s="9">
        <v>90</v>
      </c>
      <c r="N10" s="9">
        <f t="shared" si="0"/>
        <v>13924</v>
      </c>
    </row>
    <row r="11" spans="1:14" s="1" customFormat="1" x14ac:dyDescent="0.2">
      <c r="A11" s="2" t="s">
        <v>1</v>
      </c>
      <c r="B11" s="10">
        <v>89</v>
      </c>
      <c r="C11" s="9">
        <v>211</v>
      </c>
      <c r="D11" s="9">
        <v>438</v>
      </c>
      <c r="E11" s="9">
        <v>758</v>
      </c>
      <c r="F11" s="9">
        <v>570</v>
      </c>
      <c r="G11" s="9">
        <v>525</v>
      </c>
      <c r="H11" s="9">
        <v>246</v>
      </c>
      <c r="I11" s="9">
        <v>758</v>
      </c>
      <c r="J11" s="9">
        <v>360</v>
      </c>
      <c r="K11" s="9">
        <v>489</v>
      </c>
      <c r="L11" s="9">
        <v>444</v>
      </c>
      <c r="M11" s="9">
        <v>281</v>
      </c>
      <c r="N11" s="9">
        <f t="shared" si="0"/>
        <v>5169</v>
      </c>
    </row>
    <row r="12" spans="1:14" s="1" customFormat="1" x14ac:dyDescent="0.2">
      <c r="A12" s="2" t="s">
        <v>3</v>
      </c>
      <c r="B12" s="10">
        <v>717</v>
      </c>
      <c r="C12" s="9">
        <v>273</v>
      </c>
      <c r="D12" s="9">
        <v>0</v>
      </c>
      <c r="E12" s="9">
        <v>983</v>
      </c>
      <c r="F12" s="9">
        <v>620</v>
      </c>
      <c r="G12" s="9">
        <v>170</v>
      </c>
      <c r="H12" s="9">
        <v>0</v>
      </c>
      <c r="I12" s="9">
        <v>90</v>
      </c>
      <c r="J12" s="9">
        <v>726</v>
      </c>
      <c r="K12" s="9">
        <v>520</v>
      </c>
      <c r="L12" s="9">
        <v>448</v>
      </c>
      <c r="M12" s="9">
        <v>68</v>
      </c>
      <c r="N12" s="9">
        <f t="shared" si="0"/>
        <v>4615</v>
      </c>
    </row>
    <row r="13" spans="1:14" s="1" customFormat="1" x14ac:dyDescent="0.2">
      <c r="A13" s="2" t="s">
        <v>6</v>
      </c>
      <c r="B13" s="10">
        <v>1183</v>
      </c>
      <c r="C13" s="9">
        <v>2943</v>
      </c>
      <c r="D13" s="9">
        <v>4366</v>
      </c>
      <c r="E13" s="9">
        <v>9303</v>
      </c>
      <c r="F13" s="9">
        <v>7805</v>
      </c>
      <c r="G13" s="9">
        <v>6538</v>
      </c>
      <c r="H13" s="9">
        <v>20549</v>
      </c>
      <c r="I13" s="9">
        <v>11333</v>
      </c>
      <c r="J13" s="9">
        <v>5061</v>
      </c>
      <c r="K13" s="9">
        <v>6250</v>
      </c>
      <c r="L13" s="9">
        <v>2344</v>
      </c>
      <c r="M13" s="9">
        <v>3503</v>
      </c>
      <c r="N13" s="9">
        <f t="shared" si="0"/>
        <v>81178</v>
      </c>
    </row>
    <row r="14" spans="1:14" s="1" customFormat="1" x14ac:dyDescent="0.2">
      <c r="A14" s="2" t="s">
        <v>174</v>
      </c>
      <c r="B14" s="10">
        <v>0</v>
      </c>
      <c r="C14" s="9">
        <v>0</v>
      </c>
      <c r="D14" s="9">
        <v>336</v>
      </c>
      <c r="E14" s="9">
        <v>0</v>
      </c>
      <c r="F14" s="9">
        <v>210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f t="shared" si="0"/>
        <v>546</v>
      </c>
    </row>
    <row r="15" spans="1:14" x14ac:dyDescent="0.2">
      <c r="A15" s="20" t="s">
        <v>0</v>
      </c>
      <c r="B15" s="21">
        <f t="shared" ref="B15:K15" si="1">SUM(B7:B14)</f>
        <v>4033</v>
      </c>
      <c r="C15" s="21">
        <f t="shared" si="1"/>
        <v>4860</v>
      </c>
      <c r="D15" s="21">
        <f t="shared" si="1"/>
        <v>8351</v>
      </c>
      <c r="E15" s="21">
        <f t="shared" si="1"/>
        <v>13028</v>
      </c>
      <c r="F15" s="21">
        <f t="shared" si="1"/>
        <v>13453</v>
      </c>
      <c r="G15" s="21">
        <f t="shared" si="1"/>
        <v>12105</v>
      </c>
      <c r="H15" s="21">
        <f t="shared" si="1"/>
        <v>27126</v>
      </c>
      <c r="I15" s="21">
        <f t="shared" si="1"/>
        <v>15531</v>
      </c>
      <c r="J15" s="21">
        <f t="shared" si="1"/>
        <v>7356</v>
      </c>
      <c r="K15" s="21">
        <f t="shared" si="1"/>
        <v>9674</v>
      </c>
      <c r="L15" s="21">
        <f>SUM(L7:L14)</f>
        <v>10355</v>
      </c>
      <c r="M15" s="21">
        <f t="shared" ref="M15:N15" si="2">SUM(M7:M14)</f>
        <v>8835</v>
      </c>
      <c r="N15" s="21">
        <f t="shared" si="2"/>
        <v>134707</v>
      </c>
    </row>
    <row r="16" spans="1:14" x14ac:dyDescent="0.2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4" x14ac:dyDescent="0.2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">
      <c r="A18" s="4" t="s">
        <v>132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x14ac:dyDescent="0.2">
      <c r="A19" s="6" t="s">
        <v>135</v>
      </c>
    </row>
    <row r="21" spans="1:14" x14ac:dyDescent="0.2">
      <c r="A21" s="23" t="s">
        <v>82</v>
      </c>
      <c r="B21" s="23" t="s">
        <v>83</v>
      </c>
      <c r="C21" s="23" t="s">
        <v>84</v>
      </c>
      <c r="D21" s="23" t="s">
        <v>118</v>
      </c>
      <c r="E21" s="23" t="s">
        <v>85</v>
      </c>
      <c r="F21" s="23" t="s">
        <v>86</v>
      </c>
      <c r="G21" s="23" t="s">
        <v>87</v>
      </c>
      <c r="H21" s="23" t="s">
        <v>119</v>
      </c>
      <c r="I21" s="23" t="s">
        <v>120</v>
      </c>
      <c r="J21" s="23" t="s">
        <v>121</v>
      </c>
      <c r="K21" s="23" t="s">
        <v>122</v>
      </c>
      <c r="L21" s="23" t="s">
        <v>123</v>
      </c>
      <c r="M21" s="23" t="s">
        <v>124</v>
      </c>
      <c r="N21" s="23" t="s">
        <v>125</v>
      </c>
    </row>
    <row r="22" spans="1:14" x14ac:dyDescent="0.2">
      <c r="A22" s="7" t="s">
        <v>42</v>
      </c>
      <c r="B22" s="10">
        <v>0</v>
      </c>
      <c r="C22" s="9">
        <v>0</v>
      </c>
      <c r="D22" s="9">
        <v>88</v>
      </c>
      <c r="E22" s="9">
        <v>1292</v>
      </c>
      <c r="F22" s="9">
        <v>88</v>
      </c>
      <c r="G22" s="9">
        <v>0</v>
      </c>
      <c r="H22" s="9">
        <v>165</v>
      </c>
      <c r="I22" s="9">
        <v>78</v>
      </c>
      <c r="J22" s="9">
        <v>62</v>
      </c>
      <c r="K22" s="9">
        <v>0</v>
      </c>
      <c r="L22" s="9">
        <v>0</v>
      </c>
      <c r="M22" s="9">
        <v>0</v>
      </c>
      <c r="N22" s="9">
        <f t="shared" ref="N22:N23" si="3">SUM(B22:M22)</f>
        <v>1773</v>
      </c>
    </row>
    <row r="23" spans="1:14" x14ac:dyDescent="0.2">
      <c r="A23" s="7" t="s">
        <v>4</v>
      </c>
      <c r="B23" s="10">
        <v>0</v>
      </c>
      <c r="C23" s="9">
        <v>0</v>
      </c>
      <c r="D23" s="9">
        <v>37</v>
      </c>
      <c r="E23" s="9">
        <v>0</v>
      </c>
      <c r="F23" s="9">
        <v>0</v>
      </c>
      <c r="G23" s="9">
        <v>0</v>
      </c>
      <c r="H23" s="9">
        <v>0</v>
      </c>
      <c r="I23" s="9">
        <v>76</v>
      </c>
      <c r="J23" s="9">
        <v>0</v>
      </c>
      <c r="K23" s="9">
        <v>72</v>
      </c>
      <c r="L23" s="9">
        <v>37</v>
      </c>
      <c r="M23" s="9">
        <v>21</v>
      </c>
      <c r="N23" s="9">
        <f t="shared" si="3"/>
        <v>243</v>
      </c>
    </row>
    <row r="24" spans="1:14" x14ac:dyDescent="0.2">
      <c r="A24" s="7" t="s">
        <v>2</v>
      </c>
      <c r="B24" s="10">
        <v>20318</v>
      </c>
      <c r="C24" s="9">
        <v>20355</v>
      </c>
      <c r="D24" s="9">
        <v>23194</v>
      </c>
      <c r="E24" s="9">
        <v>11152</v>
      </c>
      <c r="F24" s="9">
        <v>3598</v>
      </c>
      <c r="G24" s="9">
        <v>17517</v>
      </c>
      <c r="H24" s="9">
        <v>17872</v>
      </c>
      <c r="I24" s="9">
        <v>3043</v>
      </c>
      <c r="J24" s="9">
        <v>1571</v>
      </c>
      <c r="K24" s="9">
        <v>1281</v>
      </c>
      <c r="L24" s="9">
        <v>808</v>
      </c>
      <c r="M24" s="9">
        <v>5813</v>
      </c>
      <c r="N24" s="9">
        <f>SUM(B24:M24)</f>
        <v>126522</v>
      </c>
    </row>
    <row r="25" spans="1:14" x14ac:dyDescent="0.2">
      <c r="A25" s="2" t="s">
        <v>1</v>
      </c>
      <c r="B25" s="10">
        <v>101</v>
      </c>
      <c r="C25" s="9">
        <v>37</v>
      </c>
      <c r="D25" s="9">
        <v>98</v>
      </c>
      <c r="E25" s="9">
        <v>387</v>
      </c>
      <c r="F25" s="9">
        <v>85</v>
      </c>
      <c r="G25" s="9">
        <v>0</v>
      </c>
      <c r="H25" s="9">
        <v>318</v>
      </c>
      <c r="I25" s="9">
        <v>0</v>
      </c>
      <c r="J25" s="9">
        <v>40</v>
      </c>
      <c r="K25" s="9">
        <v>98</v>
      </c>
      <c r="L25" s="9">
        <v>0</v>
      </c>
      <c r="M25" s="9">
        <v>194</v>
      </c>
      <c r="N25" s="9">
        <f>SUM(B25:M25)</f>
        <v>1358</v>
      </c>
    </row>
    <row r="26" spans="1:14" x14ac:dyDescent="0.2">
      <c r="A26" s="2" t="s">
        <v>3</v>
      </c>
      <c r="B26" s="10">
        <v>857</v>
      </c>
      <c r="C26" s="9">
        <v>2363</v>
      </c>
      <c r="D26" s="9">
        <v>0</v>
      </c>
      <c r="E26" s="9">
        <v>5030</v>
      </c>
      <c r="F26" s="9">
        <v>5113</v>
      </c>
      <c r="G26" s="9">
        <v>6662</v>
      </c>
      <c r="H26" s="9">
        <v>6288</v>
      </c>
      <c r="I26" s="9">
        <v>2163</v>
      </c>
      <c r="J26" s="9">
        <v>0</v>
      </c>
      <c r="K26" s="9">
        <v>55</v>
      </c>
      <c r="L26" s="9">
        <v>102</v>
      </c>
      <c r="M26" s="9">
        <v>0</v>
      </c>
      <c r="N26" s="9">
        <f>SUM(B26:M26)</f>
        <v>28633</v>
      </c>
    </row>
    <row r="27" spans="1:14" x14ac:dyDescent="0.2">
      <c r="A27" s="2" t="s">
        <v>6</v>
      </c>
      <c r="B27" s="10">
        <v>2187</v>
      </c>
      <c r="C27" s="9">
        <v>1900</v>
      </c>
      <c r="D27" s="9">
        <v>2007</v>
      </c>
      <c r="E27" s="9">
        <v>2407</v>
      </c>
      <c r="F27" s="9">
        <v>443</v>
      </c>
      <c r="G27" s="9">
        <v>1464</v>
      </c>
      <c r="H27" s="9">
        <v>4826</v>
      </c>
      <c r="I27" s="9">
        <v>3502</v>
      </c>
      <c r="J27" s="9">
        <v>1507</v>
      </c>
      <c r="K27" s="9">
        <v>1617</v>
      </c>
      <c r="L27" s="9">
        <v>1845</v>
      </c>
      <c r="M27" s="9">
        <v>1473</v>
      </c>
      <c r="N27" s="9">
        <f>SUM(B27:M27)</f>
        <v>25178</v>
      </c>
    </row>
    <row r="28" spans="1:14" x14ac:dyDescent="0.2">
      <c r="A28" s="2" t="s">
        <v>174</v>
      </c>
      <c r="B28" s="10">
        <v>0</v>
      </c>
      <c r="C28" s="9">
        <v>0</v>
      </c>
      <c r="D28" s="9">
        <v>1485</v>
      </c>
      <c r="E28" s="9">
        <v>1956</v>
      </c>
      <c r="F28" s="9">
        <v>2057</v>
      </c>
      <c r="G28" s="9">
        <v>2087</v>
      </c>
      <c r="H28" s="9">
        <v>2143</v>
      </c>
      <c r="I28" s="9">
        <v>1715</v>
      </c>
      <c r="J28" s="9">
        <v>159</v>
      </c>
      <c r="K28" s="9">
        <v>0</v>
      </c>
      <c r="L28" s="9">
        <v>0</v>
      </c>
      <c r="M28" s="9">
        <v>0</v>
      </c>
      <c r="N28" s="9">
        <f>SUM(B28:M28)</f>
        <v>11602</v>
      </c>
    </row>
    <row r="29" spans="1:14" x14ac:dyDescent="0.2">
      <c r="A29" s="20" t="s">
        <v>0</v>
      </c>
      <c r="B29" s="21">
        <f t="shared" ref="B29:K29" si="4">SUM(B22:B28)</f>
        <v>23463</v>
      </c>
      <c r="C29" s="21">
        <f t="shared" si="4"/>
        <v>24655</v>
      </c>
      <c r="D29" s="21">
        <f t="shared" si="4"/>
        <v>26909</v>
      </c>
      <c r="E29" s="21">
        <f t="shared" si="4"/>
        <v>22224</v>
      </c>
      <c r="F29" s="21">
        <f t="shared" si="4"/>
        <v>11384</v>
      </c>
      <c r="G29" s="21">
        <f t="shared" si="4"/>
        <v>27730</v>
      </c>
      <c r="H29" s="21">
        <f t="shared" si="4"/>
        <v>31612</v>
      </c>
      <c r="I29" s="21">
        <f t="shared" si="4"/>
        <v>10577</v>
      </c>
      <c r="J29" s="21">
        <f t="shared" si="4"/>
        <v>3339</v>
      </c>
      <c r="K29" s="21">
        <f t="shared" si="4"/>
        <v>3123</v>
      </c>
      <c r="L29" s="21">
        <f>SUM(L22:L28)</f>
        <v>2792</v>
      </c>
      <c r="M29" s="21">
        <f t="shared" ref="M29:N29" si="5">SUM(M22:M28)</f>
        <v>7501</v>
      </c>
      <c r="N29" s="21">
        <f t="shared" si="5"/>
        <v>195309</v>
      </c>
    </row>
    <row r="32" spans="1:14" x14ac:dyDescent="0.2">
      <c r="A32" s="4" t="s">
        <v>131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5" x14ac:dyDescent="0.2">
      <c r="A33" s="6" t="s">
        <v>135</v>
      </c>
    </row>
    <row r="34" spans="1:15" x14ac:dyDescent="0.2">
      <c r="A34" s="6"/>
    </row>
    <row r="35" spans="1:15" x14ac:dyDescent="0.2">
      <c r="A35" s="23" t="s">
        <v>82</v>
      </c>
      <c r="B35" s="23" t="s">
        <v>83</v>
      </c>
      <c r="C35" s="23" t="s">
        <v>84</v>
      </c>
      <c r="D35" s="23" t="s">
        <v>118</v>
      </c>
      <c r="E35" s="23" t="s">
        <v>85</v>
      </c>
      <c r="F35" s="23" t="s">
        <v>86</v>
      </c>
      <c r="G35" s="23" t="s">
        <v>87</v>
      </c>
      <c r="H35" s="23" t="s">
        <v>119</v>
      </c>
      <c r="I35" s="23" t="s">
        <v>120</v>
      </c>
      <c r="J35" s="23" t="s">
        <v>121</v>
      </c>
      <c r="K35" s="23" t="s">
        <v>122</v>
      </c>
      <c r="L35" s="23" t="s">
        <v>123</v>
      </c>
      <c r="M35" s="23" t="s">
        <v>124</v>
      </c>
      <c r="N35" s="23" t="s">
        <v>125</v>
      </c>
    </row>
    <row r="36" spans="1:15" s="1" customFormat="1" ht="12" customHeight="1" x14ac:dyDescent="0.2">
      <c r="A36" s="22" t="s">
        <v>127</v>
      </c>
      <c r="B36" s="33">
        <f>SUM(B37:B51)</f>
        <v>12360</v>
      </c>
      <c r="C36" s="33">
        <f t="shared" ref="C36:N36" si="6">SUM(C37:C51)</f>
        <v>24437</v>
      </c>
      <c r="D36" s="33">
        <f t="shared" si="6"/>
        <v>24720</v>
      </c>
      <c r="E36" s="33">
        <f t="shared" si="6"/>
        <v>21803</v>
      </c>
      <c r="F36" s="33">
        <f t="shared" si="6"/>
        <v>23534</v>
      </c>
      <c r="G36" s="33">
        <f t="shared" si="6"/>
        <v>30753</v>
      </c>
      <c r="H36" s="33">
        <f t="shared" si="6"/>
        <v>33133</v>
      </c>
      <c r="I36" s="33">
        <f t="shared" si="6"/>
        <v>20940</v>
      </c>
      <c r="J36" s="33">
        <f t="shared" si="6"/>
        <v>11057</v>
      </c>
      <c r="K36" s="33">
        <f t="shared" si="6"/>
        <v>12723</v>
      </c>
      <c r="L36" s="33">
        <f t="shared" si="6"/>
        <v>12437</v>
      </c>
      <c r="M36" s="33">
        <f t="shared" si="6"/>
        <v>12609</v>
      </c>
      <c r="N36" s="33">
        <f t="shared" si="6"/>
        <v>240506</v>
      </c>
      <c r="O36"/>
    </row>
    <row r="37" spans="1:15" s="1" customFormat="1" ht="12.75" hidden="1" customHeight="1" outlineLevel="1" x14ac:dyDescent="0.2">
      <c r="A37" s="11" t="s">
        <v>10</v>
      </c>
      <c r="B37" s="10">
        <v>1614</v>
      </c>
      <c r="C37" s="9">
        <v>1366</v>
      </c>
      <c r="D37" s="9">
        <v>1366</v>
      </c>
      <c r="E37" s="9">
        <v>1333</v>
      </c>
      <c r="F37" s="9">
        <v>1446</v>
      </c>
      <c r="G37" s="9">
        <v>1831</v>
      </c>
      <c r="H37" s="9">
        <v>1217</v>
      </c>
      <c r="I37" s="9">
        <v>1462</v>
      </c>
      <c r="J37" s="9">
        <v>954</v>
      </c>
      <c r="K37" s="9">
        <v>1296</v>
      </c>
      <c r="L37" s="9">
        <v>1057</v>
      </c>
      <c r="M37" s="9">
        <v>1201</v>
      </c>
      <c r="N37" s="9">
        <f t="shared" ref="N37:N51" si="7">SUM(B37:M37)</f>
        <v>16143</v>
      </c>
    </row>
    <row r="38" spans="1:15" s="1" customFormat="1" ht="12.75" hidden="1" customHeight="1" outlineLevel="1" x14ac:dyDescent="0.2">
      <c r="A38" s="12" t="s">
        <v>52</v>
      </c>
      <c r="B38" s="10">
        <v>867</v>
      </c>
      <c r="C38" s="9">
        <v>0</v>
      </c>
      <c r="D38" s="9">
        <v>0</v>
      </c>
      <c r="E38" s="9">
        <v>790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f t="shared" si="7"/>
        <v>1657</v>
      </c>
    </row>
    <row r="39" spans="1:15" s="1" customFormat="1" ht="12.75" hidden="1" customHeight="1" outlineLevel="1" x14ac:dyDescent="0.2">
      <c r="A39" s="12" t="s">
        <v>8</v>
      </c>
      <c r="B39" s="10">
        <v>0</v>
      </c>
      <c r="C39" s="9">
        <v>0</v>
      </c>
      <c r="D39" s="9">
        <v>0</v>
      </c>
      <c r="E39" s="9">
        <v>332</v>
      </c>
      <c r="F39" s="9">
        <v>67</v>
      </c>
      <c r="G39" s="9">
        <v>0</v>
      </c>
      <c r="H39" s="9">
        <v>0</v>
      </c>
      <c r="I39" s="9">
        <v>0</v>
      </c>
      <c r="J39" s="9">
        <v>0</v>
      </c>
      <c r="K39" s="9">
        <v>295</v>
      </c>
      <c r="L39" s="9">
        <v>0</v>
      </c>
      <c r="M39" s="9">
        <v>0</v>
      </c>
      <c r="N39" s="9">
        <f t="shared" si="7"/>
        <v>694</v>
      </c>
    </row>
    <row r="40" spans="1:15" s="1" customFormat="1" ht="12.75" hidden="1" customHeight="1" outlineLevel="1" x14ac:dyDescent="0.2">
      <c r="A40" s="12" t="s">
        <v>7</v>
      </c>
      <c r="B40" s="10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48">
        <v>37</v>
      </c>
      <c r="L40" s="9">
        <v>0</v>
      </c>
      <c r="M40" s="9">
        <v>0</v>
      </c>
      <c r="N40" s="9">
        <f t="shared" si="7"/>
        <v>37</v>
      </c>
    </row>
    <row r="41" spans="1:15" s="1" customFormat="1" ht="12.75" hidden="1" customHeight="1" outlineLevel="1" x14ac:dyDescent="0.2">
      <c r="A41" s="12" t="s">
        <v>9</v>
      </c>
      <c r="B41" s="10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48">
        <v>0</v>
      </c>
      <c r="L41" s="9">
        <v>0</v>
      </c>
      <c r="M41" s="9">
        <v>92</v>
      </c>
      <c r="N41" s="9">
        <f t="shared" si="7"/>
        <v>92</v>
      </c>
    </row>
    <row r="42" spans="1:15" s="1" customFormat="1" ht="12.75" hidden="1" customHeight="1" outlineLevel="1" x14ac:dyDescent="0.2">
      <c r="A42" s="12" t="s">
        <v>78</v>
      </c>
      <c r="B42" s="10">
        <v>935</v>
      </c>
      <c r="C42" s="9">
        <v>722</v>
      </c>
      <c r="D42" s="9">
        <v>945</v>
      </c>
      <c r="E42" s="9">
        <v>945</v>
      </c>
      <c r="F42" s="9">
        <v>803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f t="shared" si="7"/>
        <v>4350</v>
      </c>
    </row>
    <row r="43" spans="1:15" s="1" customFormat="1" ht="12.75" hidden="1" customHeight="1" outlineLevel="1" x14ac:dyDescent="0.2">
      <c r="A43" s="12" t="s">
        <v>13</v>
      </c>
      <c r="B43" s="10">
        <v>0</v>
      </c>
      <c r="C43" s="9">
        <v>14292</v>
      </c>
      <c r="D43" s="9">
        <v>14185</v>
      </c>
      <c r="E43" s="9">
        <v>11473</v>
      </c>
      <c r="F43" s="9">
        <v>8699</v>
      </c>
      <c r="G43" s="9">
        <v>9742</v>
      </c>
      <c r="H43" s="9">
        <v>9902</v>
      </c>
      <c r="I43" s="9">
        <v>8937</v>
      </c>
      <c r="J43" s="9">
        <v>6619</v>
      </c>
      <c r="K43" s="9">
        <v>6766</v>
      </c>
      <c r="L43" s="9">
        <v>7400</v>
      </c>
      <c r="M43" s="9">
        <v>8556</v>
      </c>
      <c r="N43" s="9">
        <f t="shared" si="7"/>
        <v>106571</v>
      </c>
    </row>
    <row r="44" spans="1:15" s="1" customFormat="1" ht="12.75" hidden="1" customHeight="1" outlineLevel="1" x14ac:dyDescent="0.2">
      <c r="A44" s="11" t="s">
        <v>92</v>
      </c>
      <c r="B44" s="10">
        <v>77</v>
      </c>
      <c r="C44" s="9">
        <v>82</v>
      </c>
      <c r="D44" s="9">
        <v>77</v>
      </c>
      <c r="E44" s="9">
        <v>32</v>
      </c>
      <c r="F44" s="9">
        <v>39</v>
      </c>
      <c r="G44" s="9">
        <v>70</v>
      </c>
      <c r="H44" s="9">
        <v>61</v>
      </c>
      <c r="I44" s="9">
        <v>126</v>
      </c>
      <c r="J44" s="9">
        <v>120</v>
      </c>
      <c r="K44" s="9">
        <v>0</v>
      </c>
      <c r="L44" s="9">
        <v>0</v>
      </c>
      <c r="M44" s="9">
        <v>0</v>
      </c>
      <c r="N44" s="9">
        <f t="shared" si="7"/>
        <v>684</v>
      </c>
    </row>
    <row r="45" spans="1:15" ht="12.75" hidden="1" customHeight="1" outlineLevel="1" x14ac:dyDescent="0.2">
      <c r="A45" s="11" t="s">
        <v>46</v>
      </c>
      <c r="B45" s="10">
        <v>1498</v>
      </c>
      <c r="C45" s="9">
        <v>496</v>
      </c>
      <c r="D45" s="9">
        <v>3418</v>
      </c>
      <c r="E45" s="9">
        <v>146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739</v>
      </c>
      <c r="L45" s="9">
        <v>488</v>
      </c>
      <c r="M45" s="9">
        <v>611</v>
      </c>
      <c r="N45" s="9">
        <f t="shared" si="7"/>
        <v>7396</v>
      </c>
    </row>
    <row r="46" spans="1:15" ht="12.75" hidden="1" customHeight="1" outlineLevel="1" x14ac:dyDescent="0.2">
      <c r="A46" s="8" t="s">
        <v>38</v>
      </c>
      <c r="B46" s="10">
        <v>3665</v>
      </c>
      <c r="C46" s="9">
        <v>3774</v>
      </c>
      <c r="D46" s="9">
        <v>315</v>
      </c>
      <c r="E46" s="9">
        <v>1244</v>
      </c>
      <c r="F46" s="9">
        <v>2176</v>
      </c>
      <c r="G46" s="9">
        <v>1832</v>
      </c>
      <c r="H46" s="9">
        <v>1606</v>
      </c>
      <c r="I46" s="9">
        <v>1248</v>
      </c>
      <c r="J46" s="9">
        <v>0</v>
      </c>
      <c r="K46" s="9">
        <v>0</v>
      </c>
      <c r="L46" s="9">
        <v>0</v>
      </c>
      <c r="M46" s="9">
        <v>634</v>
      </c>
      <c r="N46" s="9">
        <f t="shared" si="7"/>
        <v>16494</v>
      </c>
    </row>
    <row r="47" spans="1:15" ht="12.75" hidden="1" customHeight="1" outlineLevel="1" x14ac:dyDescent="0.2">
      <c r="A47" s="8" t="s">
        <v>187</v>
      </c>
      <c r="B47" s="10">
        <v>0</v>
      </c>
      <c r="C47" s="9">
        <v>0</v>
      </c>
      <c r="D47" s="9">
        <v>0</v>
      </c>
      <c r="E47" s="9">
        <v>0</v>
      </c>
      <c r="F47" s="9">
        <v>476</v>
      </c>
      <c r="G47" s="9">
        <v>962</v>
      </c>
      <c r="H47" s="9">
        <v>1857</v>
      </c>
      <c r="I47" s="9">
        <v>734</v>
      </c>
      <c r="J47" s="9">
        <v>0</v>
      </c>
      <c r="K47" s="9">
        <v>0</v>
      </c>
      <c r="L47" s="9">
        <v>0</v>
      </c>
      <c r="M47" s="9">
        <v>0</v>
      </c>
      <c r="N47" s="9">
        <f t="shared" si="7"/>
        <v>4029</v>
      </c>
    </row>
    <row r="48" spans="1:15" ht="12.75" hidden="1" customHeight="1" outlineLevel="1" x14ac:dyDescent="0.2">
      <c r="A48" s="11" t="s">
        <v>113</v>
      </c>
      <c r="B48" s="10">
        <v>245</v>
      </c>
      <c r="C48" s="9">
        <v>270</v>
      </c>
      <c r="D48" s="9">
        <v>270</v>
      </c>
      <c r="E48" s="9">
        <v>262</v>
      </c>
      <c r="F48" s="9">
        <v>4519</v>
      </c>
      <c r="G48" s="9">
        <v>9207</v>
      </c>
      <c r="H48" s="9">
        <v>10313</v>
      </c>
      <c r="I48" s="9">
        <v>3882</v>
      </c>
      <c r="J48" s="9">
        <v>1240</v>
      </c>
      <c r="K48" s="9">
        <v>1211</v>
      </c>
      <c r="L48" s="9">
        <v>941</v>
      </c>
      <c r="M48" s="9">
        <v>1346</v>
      </c>
      <c r="N48" s="9">
        <f t="shared" si="7"/>
        <v>33706</v>
      </c>
    </row>
    <row r="49" spans="1:14" ht="12.75" hidden="1" customHeight="1" outlineLevel="1" x14ac:dyDescent="0.2">
      <c r="A49" s="11" t="s">
        <v>80</v>
      </c>
      <c r="B49" s="10">
        <v>3149</v>
      </c>
      <c r="C49" s="9">
        <v>3187</v>
      </c>
      <c r="D49" s="9">
        <v>3849</v>
      </c>
      <c r="E49" s="9">
        <v>4360</v>
      </c>
      <c r="F49" s="9">
        <v>5042</v>
      </c>
      <c r="G49" s="9">
        <v>6868</v>
      </c>
      <c r="H49" s="9">
        <v>8029</v>
      </c>
      <c r="I49" s="9">
        <v>4452</v>
      </c>
      <c r="J49" s="9">
        <v>1881</v>
      </c>
      <c r="K49" s="9">
        <v>2281</v>
      </c>
      <c r="L49" s="9">
        <v>2346</v>
      </c>
      <c r="M49" s="9">
        <v>0</v>
      </c>
      <c r="N49" s="9">
        <f t="shared" si="7"/>
        <v>45444</v>
      </c>
    </row>
    <row r="50" spans="1:14" ht="12.75" hidden="1" customHeight="1" outlineLevel="1" x14ac:dyDescent="0.2">
      <c r="A50" s="11" t="s">
        <v>107</v>
      </c>
      <c r="B50" s="10">
        <v>310</v>
      </c>
      <c r="C50" s="9">
        <v>248</v>
      </c>
      <c r="D50" s="9">
        <v>295</v>
      </c>
      <c r="E50" s="9">
        <v>36</v>
      </c>
      <c r="F50" s="9">
        <v>267</v>
      </c>
      <c r="G50" s="9">
        <v>241</v>
      </c>
      <c r="H50" s="9">
        <v>148</v>
      </c>
      <c r="I50" s="9">
        <v>99</v>
      </c>
      <c r="J50" s="9">
        <v>243</v>
      </c>
      <c r="K50" s="9">
        <v>98</v>
      </c>
      <c r="L50" s="9">
        <v>205</v>
      </c>
      <c r="M50" s="9">
        <v>169</v>
      </c>
      <c r="N50" s="9">
        <f t="shared" si="7"/>
        <v>2359</v>
      </c>
    </row>
    <row r="51" spans="1:14" ht="12.75" hidden="1" customHeight="1" outlineLevel="1" x14ac:dyDescent="0.2">
      <c r="A51" s="31" t="s">
        <v>90</v>
      </c>
      <c r="B51" s="10">
        <v>0</v>
      </c>
      <c r="C51" s="9">
        <v>0</v>
      </c>
      <c r="D51" s="9">
        <v>0</v>
      </c>
      <c r="E51" s="9">
        <v>850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f t="shared" si="7"/>
        <v>850</v>
      </c>
    </row>
    <row r="52" spans="1:14" collapsed="1" x14ac:dyDescent="0.2">
      <c r="A52" s="22" t="s">
        <v>55</v>
      </c>
      <c r="B52" s="33">
        <f>SUM(B53:B55)</f>
        <v>63980</v>
      </c>
      <c r="C52" s="33">
        <f t="shared" ref="C52:N52" si="8">SUM(C53:C55)</f>
        <v>56517</v>
      </c>
      <c r="D52" s="33">
        <f t="shared" si="8"/>
        <v>57176</v>
      </c>
      <c r="E52" s="33">
        <f t="shared" si="8"/>
        <v>31106</v>
      </c>
      <c r="F52" s="33">
        <f t="shared" si="8"/>
        <v>20068</v>
      </c>
      <c r="G52" s="33">
        <f t="shared" si="8"/>
        <v>15078</v>
      </c>
      <c r="H52" s="33">
        <f t="shared" si="8"/>
        <v>17258</v>
      </c>
      <c r="I52" s="33">
        <f t="shared" si="8"/>
        <v>14476</v>
      </c>
      <c r="J52" s="33">
        <f t="shared" si="8"/>
        <v>8345</v>
      </c>
      <c r="K52" s="33">
        <f t="shared" si="8"/>
        <v>12980</v>
      </c>
      <c r="L52" s="33">
        <f t="shared" si="8"/>
        <v>8742</v>
      </c>
      <c r="M52" s="33">
        <f t="shared" si="8"/>
        <v>34138</v>
      </c>
      <c r="N52" s="33">
        <f t="shared" si="8"/>
        <v>339864</v>
      </c>
    </row>
    <row r="53" spans="1:14" ht="12.75" hidden="1" customHeight="1" outlineLevel="1" x14ac:dyDescent="0.2">
      <c r="A53" s="11" t="s">
        <v>68</v>
      </c>
      <c r="B53" s="10">
        <v>41166</v>
      </c>
      <c r="C53" s="9">
        <v>36576</v>
      </c>
      <c r="D53" s="9">
        <v>34245</v>
      </c>
      <c r="E53" s="9">
        <v>18354</v>
      </c>
      <c r="F53" s="9">
        <v>14164</v>
      </c>
      <c r="G53" s="9">
        <v>12393</v>
      </c>
      <c r="H53" s="9">
        <v>14526</v>
      </c>
      <c r="I53" s="9">
        <v>10641</v>
      </c>
      <c r="J53" s="9">
        <v>5446</v>
      </c>
      <c r="K53" s="9">
        <v>9215</v>
      </c>
      <c r="L53" s="9">
        <v>7811</v>
      </c>
      <c r="M53" s="9">
        <v>22382</v>
      </c>
      <c r="N53" s="9">
        <f>SUM(B53:M53)</f>
        <v>226919</v>
      </c>
    </row>
    <row r="54" spans="1:14" ht="12.75" hidden="1" customHeight="1" outlineLevel="1" x14ac:dyDescent="0.2">
      <c r="A54" s="11" t="s">
        <v>45</v>
      </c>
      <c r="B54" s="10">
        <v>1338</v>
      </c>
      <c r="C54" s="9">
        <v>2181</v>
      </c>
      <c r="D54" s="9">
        <v>2845</v>
      </c>
      <c r="E54" s="9">
        <v>3066</v>
      </c>
      <c r="F54" s="9">
        <v>378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f>SUM(B54:M54)</f>
        <v>9808</v>
      </c>
    </row>
    <row r="55" spans="1:14" ht="12.75" hidden="1" customHeight="1" outlineLevel="1" x14ac:dyDescent="0.2">
      <c r="A55" s="13" t="s">
        <v>69</v>
      </c>
      <c r="B55" s="10">
        <v>21476</v>
      </c>
      <c r="C55" s="9">
        <v>17760</v>
      </c>
      <c r="D55" s="9">
        <v>20086</v>
      </c>
      <c r="E55" s="9">
        <v>9686</v>
      </c>
      <c r="F55" s="9">
        <v>5526</v>
      </c>
      <c r="G55" s="9">
        <v>2685</v>
      </c>
      <c r="H55" s="9">
        <v>2732</v>
      </c>
      <c r="I55" s="9">
        <v>3835</v>
      </c>
      <c r="J55" s="9">
        <v>2899</v>
      </c>
      <c r="K55" s="9">
        <v>3765</v>
      </c>
      <c r="L55" s="9">
        <v>931</v>
      </c>
      <c r="M55" s="9">
        <v>11756</v>
      </c>
      <c r="N55" s="9">
        <f>SUM(B55:M55)</f>
        <v>103137</v>
      </c>
    </row>
    <row r="56" spans="1:14" ht="25.5" collapsed="1" x14ac:dyDescent="0.2">
      <c r="A56" s="22" t="s">
        <v>128</v>
      </c>
      <c r="B56" s="33">
        <f>SUM(B57:B62)</f>
        <v>4588</v>
      </c>
      <c r="C56" s="33">
        <f t="shared" ref="C56:N56" si="9">SUM(C57:C62)</f>
        <v>1611</v>
      </c>
      <c r="D56" s="33">
        <f t="shared" si="9"/>
        <v>1599</v>
      </c>
      <c r="E56" s="33">
        <f t="shared" si="9"/>
        <v>1987</v>
      </c>
      <c r="F56" s="33">
        <f t="shared" si="9"/>
        <v>281</v>
      </c>
      <c r="G56" s="33">
        <f t="shared" si="9"/>
        <v>2292</v>
      </c>
      <c r="H56" s="33">
        <f t="shared" si="9"/>
        <v>1208</v>
      </c>
      <c r="I56" s="33">
        <f t="shared" si="9"/>
        <v>448</v>
      </c>
      <c r="J56" s="33">
        <f t="shared" si="9"/>
        <v>93</v>
      </c>
      <c r="K56" s="33">
        <f t="shared" si="9"/>
        <v>482</v>
      </c>
      <c r="L56" s="33">
        <f t="shared" si="9"/>
        <v>402</v>
      </c>
      <c r="M56" s="33">
        <f t="shared" si="9"/>
        <v>626</v>
      </c>
      <c r="N56" s="33">
        <f t="shared" si="9"/>
        <v>15617</v>
      </c>
    </row>
    <row r="57" spans="1:14" hidden="1" outlineLevel="1" x14ac:dyDescent="0.2">
      <c r="A57" s="16" t="s">
        <v>34</v>
      </c>
      <c r="B57" s="10">
        <v>2234</v>
      </c>
      <c r="C57" s="9">
        <v>1372</v>
      </c>
      <c r="D57" s="9">
        <v>1139</v>
      </c>
      <c r="E57" s="9">
        <v>1069</v>
      </c>
      <c r="F57" s="9">
        <v>281</v>
      </c>
      <c r="G57" s="9">
        <v>1482</v>
      </c>
      <c r="H57" s="9">
        <v>0</v>
      </c>
      <c r="I57" s="9">
        <v>0</v>
      </c>
      <c r="J57" s="9">
        <v>0</v>
      </c>
      <c r="K57" s="9">
        <v>300</v>
      </c>
      <c r="L57" s="9">
        <v>0</v>
      </c>
      <c r="M57" s="9">
        <v>107</v>
      </c>
      <c r="N57" s="9">
        <f t="shared" ref="N57:N62" si="10">SUM(B57:M57)</f>
        <v>7984</v>
      </c>
    </row>
    <row r="58" spans="1:14" hidden="1" outlineLevel="1" x14ac:dyDescent="0.2">
      <c r="A58" s="16" t="s">
        <v>76</v>
      </c>
      <c r="B58" s="10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66</v>
      </c>
      <c r="M58" s="9">
        <v>0</v>
      </c>
      <c r="N58" s="9">
        <f t="shared" si="10"/>
        <v>66</v>
      </c>
    </row>
    <row r="59" spans="1:14" hidden="1" outlineLevel="1" x14ac:dyDescent="0.2">
      <c r="A59" s="19" t="s">
        <v>31</v>
      </c>
      <c r="B59" s="10">
        <v>386</v>
      </c>
      <c r="C59" s="9">
        <v>0</v>
      </c>
      <c r="D59" s="9">
        <v>221</v>
      </c>
      <c r="E59" s="9">
        <v>0</v>
      </c>
      <c r="F59" s="9">
        <v>0</v>
      </c>
      <c r="G59" s="9">
        <v>728</v>
      </c>
      <c r="H59" s="9">
        <v>0</v>
      </c>
      <c r="I59" s="9">
        <v>0</v>
      </c>
      <c r="J59" s="9">
        <v>93</v>
      </c>
      <c r="K59" s="9">
        <v>182</v>
      </c>
      <c r="L59" s="9">
        <v>336</v>
      </c>
      <c r="M59" s="9">
        <v>0</v>
      </c>
      <c r="N59" s="9">
        <f t="shared" si="10"/>
        <v>1946</v>
      </c>
    </row>
    <row r="60" spans="1:14" hidden="1" outlineLevel="1" x14ac:dyDescent="0.2">
      <c r="A60" s="16" t="s">
        <v>32</v>
      </c>
      <c r="B60" s="10">
        <v>1213</v>
      </c>
      <c r="C60" s="9">
        <v>0</v>
      </c>
      <c r="D60" s="9">
        <v>119</v>
      </c>
      <c r="E60" s="9">
        <v>361</v>
      </c>
      <c r="F60" s="9">
        <v>0</v>
      </c>
      <c r="G60" s="9">
        <v>82</v>
      </c>
      <c r="H60" s="9">
        <v>916</v>
      </c>
      <c r="I60" s="9">
        <v>0</v>
      </c>
      <c r="J60" s="9">
        <v>0</v>
      </c>
      <c r="K60" s="9">
        <v>0</v>
      </c>
      <c r="L60" s="9">
        <v>0</v>
      </c>
      <c r="M60" s="9">
        <v>519</v>
      </c>
      <c r="N60" s="9">
        <f t="shared" si="10"/>
        <v>3210</v>
      </c>
    </row>
    <row r="61" spans="1:14" hidden="1" outlineLevel="1" x14ac:dyDescent="0.2">
      <c r="A61" s="16" t="s">
        <v>36</v>
      </c>
      <c r="B61" s="10">
        <v>0</v>
      </c>
      <c r="C61" s="9">
        <v>239</v>
      </c>
      <c r="D61" s="9">
        <v>120</v>
      </c>
      <c r="E61" s="9">
        <v>557</v>
      </c>
      <c r="F61" s="9">
        <v>0</v>
      </c>
      <c r="G61" s="9">
        <v>0</v>
      </c>
      <c r="H61" s="9">
        <v>150</v>
      </c>
      <c r="I61" s="9">
        <v>448</v>
      </c>
      <c r="J61" s="9">
        <v>0</v>
      </c>
      <c r="K61" s="9">
        <v>0</v>
      </c>
      <c r="L61" s="9">
        <v>0</v>
      </c>
      <c r="M61" s="9">
        <v>0</v>
      </c>
      <c r="N61" s="9">
        <f t="shared" si="10"/>
        <v>1514</v>
      </c>
    </row>
    <row r="62" spans="1:14" hidden="1" outlineLevel="1" x14ac:dyDescent="0.2">
      <c r="A62" s="17" t="s">
        <v>74</v>
      </c>
      <c r="B62" s="10">
        <v>755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142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f t="shared" si="10"/>
        <v>897</v>
      </c>
    </row>
    <row r="63" spans="1:14" collapsed="1" x14ac:dyDescent="0.2">
      <c r="A63" s="22" t="s">
        <v>54</v>
      </c>
      <c r="B63" s="33">
        <f>SUM(B64:B79)</f>
        <v>61972</v>
      </c>
      <c r="C63" s="33">
        <f t="shared" ref="C63:M63" si="11">SUM(C64:C79)</f>
        <v>50209</v>
      </c>
      <c r="D63" s="33">
        <f t="shared" si="11"/>
        <v>53671</v>
      </c>
      <c r="E63" s="33">
        <f t="shared" si="11"/>
        <v>40504</v>
      </c>
      <c r="F63" s="33">
        <f t="shared" si="11"/>
        <v>46118</v>
      </c>
      <c r="G63" s="33">
        <f t="shared" si="11"/>
        <v>46684</v>
      </c>
      <c r="H63" s="33">
        <f t="shared" si="11"/>
        <v>48762</v>
      </c>
      <c r="I63" s="33">
        <f t="shared" si="11"/>
        <v>47991</v>
      </c>
      <c r="J63" s="33">
        <f t="shared" si="11"/>
        <v>47713</v>
      </c>
      <c r="K63" s="33">
        <f t="shared" si="11"/>
        <v>44852</v>
      </c>
      <c r="L63" s="33">
        <f t="shared" si="11"/>
        <v>45478</v>
      </c>
      <c r="M63" s="33">
        <f t="shared" si="11"/>
        <v>53566</v>
      </c>
      <c r="N63" s="33">
        <f>SUM(N64:N79)</f>
        <v>587520</v>
      </c>
    </row>
    <row r="64" spans="1:14" hidden="1" outlineLevel="1" x14ac:dyDescent="0.2">
      <c r="A64" s="11" t="s">
        <v>114</v>
      </c>
      <c r="B64" s="10">
        <v>1843</v>
      </c>
      <c r="C64" s="9">
        <v>1805</v>
      </c>
      <c r="D64" s="9">
        <v>1873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f t="shared" ref="N64:N79" si="12">SUM(B64:M64)</f>
        <v>5521</v>
      </c>
    </row>
    <row r="65" spans="1:14" hidden="1" outlineLevel="1" x14ac:dyDescent="0.2">
      <c r="A65" s="11" t="s">
        <v>115</v>
      </c>
      <c r="B65" s="10">
        <v>1011</v>
      </c>
      <c r="C65" s="9">
        <v>1100</v>
      </c>
      <c r="D65" s="9">
        <v>1609</v>
      </c>
      <c r="E65" s="9">
        <v>0</v>
      </c>
      <c r="F65" s="9">
        <v>142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514</v>
      </c>
      <c r="N65" s="9">
        <f t="shared" si="12"/>
        <v>4376</v>
      </c>
    </row>
    <row r="66" spans="1:14" hidden="1" outlineLevel="1" x14ac:dyDescent="0.2">
      <c r="A66" s="11" t="s">
        <v>96</v>
      </c>
      <c r="B66" s="10">
        <v>3498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2221</v>
      </c>
      <c r="M66" s="9">
        <v>1889</v>
      </c>
      <c r="N66" s="9">
        <f t="shared" si="12"/>
        <v>7608</v>
      </c>
    </row>
    <row r="67" spans="1:14" hidden="1" outlineLevel="1" x14ac:dyDescent="0.2">
      <c r="A67" s="11" t="s">
        <v>177</v>
      </c>
      <c r="B67" s="10">
        <v>0</v>
      </c>
      <c r="C67" s="9">
        <v>0</v>
      </c>
      <c r="D67" s="9">
        <v>285</v>
      </c>
      <c r="E67" s="9">
        <v>1996</v>
      </c>
      <c r="F67" s="9">
        <v>2103</v>
      </c>
      <c r="G67" s="9">
        <v>2478</v>
      </c>
      <c r="H67" s="9">
        <v>2487</v>
      </c>
      <c r="I67" s="9">
        <v>2241</v>
      </c>
      <c r="J67" s="9">
        <v>2829</v>
      </c>
      <c r="K67" s="9">
        <v>2633</v>
      </c>
      <c r="L67" s="9">
        <v>1568</v>
      </c>
      <c r="M67" s="9">
        <v>2005</v>
      </c>
      <c r="N67" s="9">
        <f t="shared" si="12"/>
        <v>20625</v>
      </c>
    </row>
    <row r="68" spans="1:14" hidden="1" outlineLevel="1" x14ac:dyDescent="0.2">
      <c r="A68" s="11" t="s">
        <v>101</v>
      </c>
      <c r="B68" s="10">
        <v>1046</v>
      </c>
      <c r="C68" s="9">
        <v>1038</v>
      </c>
      <c r="D68" s="9">
        <v>773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f t="shared" si="12"/>
        <v>2857</v>
      </c>
    </row>
    <row r="69" spans="1:14" hidden="1" outlineLevel="1" x14ac:dyDescent="0.2">
      <c r="A69" s="11" t="s">
        <v>98</v>
      </c>
      <c r="B69" s="10">
        <v>3147</v>
      </c>
      <c r="C69" s="9">
        <v>2831</v>
      </c>
      <c r="D69" s="9">
        <v>2012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1593</v>
      </c>
      <c r="M69" s="9">
        <v>1970</v>
      </c>
      <c r="N69" s="9">
        <f t="shared" si="12"/>
        <v>11553</v>
      </c>
    </row>
    <row r="70" spans="1:14" hidden="1" outlineLevel="1" x14ac:dyDescent="0.2">
      <c r="A70" s="11" t="s">
        <v>91</v>
      </c>
      <c r="B70" s="10">
        <v>433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f t="shared" si="12"/>
        <v>433</v>
      </c>
    </row>
    <row r="71" spans="1:14" hidden="1" outlineLevel="1" x14ac:dyDescent="0.2">
      <c r="A71" s="11" t="s">
        <v>49</v>
      </c>
      <c r="B71" s="10">
        <v>4505</v>
      </c>
      <c r="C71" s="9">
        <v>3840</v>
      </c>
      <c r="D71" s="9">
        <v>2900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660</v>
      </c>
      <c r="M71" s="9">
        <v>1301</v>
      </c>
      <c r="N71" s="9">
        <f t="shared" si="12"/>
        <v>13206</v>
      </c>
    </row>
    <row r="72" spans="1:14" hidden="1" outlineLevel="1" x14ac:dyDescent="0.2">
      <c r="A72" s="7" t="s">
        <v>43</v>
      </c>
      <c r="B72" s="10">
        <v>32917</v>
      </c>
      <c r="C72" s="9">
        <v>28311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f t="shared" si="12"/>
        <v>61228</v>
      </c>
    </row>
    <row r="73" spans="1:14" hidden="1" outlineLevel="1" x14ac:dyDescent="0.2">
      <c r="A73" s="36" t="s">
        <v>176</v>
      </c>
      <c r="B73" s="10">
        <v>0</v>
      </c>
      <c r="C73" s="9">
        <v>0</v>
      </c>
      <c r="D73" s="9">
        <v>31768</v>
      </c>
      <c r="E73" s="9">
        <v>35930</v>
      </c>
      <c r="F73" s="9">
        <v>43873</v>
      </c>
      <c r="G73" s="9">
        <v>44206</v>
      </c>
      <c r="H73" s="9">
        <v>46179</v>
      </c>
      <c r="I73" s="9">
        <v>45750</v>
      </c>
      <c r="J73" s="9">
        <v>44884</v>
      </c>
      <c r="K73" s="9">
        <v>42219</v>
      </c>
      <c r="L73" s="9">
        <v>32587</v>
      </c>
      <c r="M73" s="9">
        <v>33216</v>
      </c>
      <c r="N73" s="9">
        <f t="shared" si="12"/>
        <v>400612</v>
      </c>
    </row>
    <row r="74" spans="1:14" hidden="1" outlineLevel="1" x14ac:dyDescent="0.2">
      <c r="A74" s="12" t="s">
        <v>72</v>
      </c>
      <c r="B74" s="10">
        <v>1151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f t="shared" si="12"/>
        <v>1151</v>
      </c>
    </row>
    <row r="75" spans="1:14" hidden="1" outlineLevel="1" x14ac:dyDescent="0.2">
      <c r="A75" s="11" t="s">
        <v>21</v>
      </c>
      <c r="B75" s="10">
        <v>2755</v>
      </c>
      <c r="C75" s="9">
        <v>2173</v>
      </c>
      <c r="D75" s="9">
        <v>2502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1406</v>
      </c>
      <c r="M75" s="9">
        <v>1622</v>
      </c>
      <c r="N75" s="9">
        <f t="shared" si="12"/>
        <v>10458</v>
      </c>
    </row>
    <row r="76" spans="1:14" hidden="1" outlineLevel="1" x14ac:dyDescent="0.2">
      <c r="A76" s="11" t="s">
        <v>97</v>
      </c>
      <c r="B76" s="10">
        <v>2169</v>
      </c>
      <c r="C76" s="9">
        <v>2254</v>
      </c>
      <c r="D76" s="9">
        <v>2789</v>
      </c>
      <c r="E76" s="9">
        <v>1713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f t="shared" si="12"/>
        <v>8925</v>
      </c>
    </row>
    <row r="77" spans="1:14" s="1" customFormat="1" hidden="1" outlineLevel="1" x14ac:dyDescent="0.2">
      <c r="A77" s="12" t="s">
        <v>71</v>
      </c>
      <c r="B77" s="10">
        <v>7497</v>
      </c>
      <c r="C77" s="9">
        <v>6857</v>
      </c>
      <c r="D77" s="9">
        <v>7160</v>
      </c>
      <c r="E77" s="9">
        <v>865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2840</v>
      </c>
      <c r="M77" s="9">
        <v>6807</v>
      </c>
      <c r="N77" s="9">
        <f t="shared" si="12"/>
        <v>32026</v>
      </c>
    </row>
    <row r="78" spans="1:14" s="1" customFormat="1" hidden="1" outlineLevel="1" x14ac:dyDescent="0.2">
      <c r="A78" s="12" t="s">
        <v>201</v>
      </c>
      <c r="B78" s="10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2603</v>
      </c>
      <c r="M78" s="9">
        <v>4242</v>
      </c>
      <c r="N78" s="9">
        <f t="shared" si="12"/>
        <v>6845</v>
      </c>
    </row>
    <row r="79" spans="1:14" s="1" customFormat="1" hidden="1" outlineLevel="1" x14ac:dyDescent="0.2">
      <c r="A79" s="7" t="s">
        <v>193</v>
      </c>
      <c r="B79" s="10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96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f t="shared" si="12"/>
        <v>96</v>
      </c>
    </row>
    <row r="80" spans="1:14" collapsed="1" x14ac:dyDescent="0.2">
      <c r="A80" s="20" t="s">
        <v>0</v>
      </c>
      <c r="B80" s="21">
        <f t="shared" ref="B80:N80" si="13">B36+B52+B56+B63</f>
        <v>142900</v>
      </c>
      <c r="C80" s="21">
        <f t="shared" si="13"/>
        <v>132774</v>
      </c>
      <c r="D80" s="21">
        <f t="shared" si="13"/>
        <v>137166</v>
      </c>
      <c r="E80" s="21">
        <f t="shared" si="13"/>
        <v>95400</v>
      </c>
      <c r="F80" s="21">
        <f t="shared" si="13"/>
        <v>90001</v>
      </c>
      <c r="G80" s="21">
        <f t="shared" si="13"/>
        <v>94807</v>
      </c>
      <c r="H80" s="21">
        <f t="shared" si="13"/>
        <v>100361</v>
      </c>
      <c r="I80" s="21">
        <f t="shared" si="13"/>
        <v>83855</v>
      </c>
      <c r="J80" s="21">
        <f t="shared" si="13"/>
        <v>67208</v>
      </c>
      <c r="K80" s="21">
        <f t="shared" si="13"/>
        <v>71037</v>
      </c>
      <c r="L80" s="21">
        <f t="shared" si="13"/>
        <v>67059</v>
      </c>
      <c r="M80" s="21">
        <f t="shared" si="13"/>
        <v>100939</v>
      </c>
      <c r="N80" s="21">
        <f t="shared" si="13"/>
        <v>1183507</v>
      </c>
    </row>
    <row r="82" spans="2:14" x14ac:dyDescent="0.2"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</row>
  </sheetData>
  <sortState ref="A53:N64">
    <sortCondition ref="A53"/>
  </sortState>
  <pageMargins left="0.75" right="0.75" top="1" bottom="1" header="0" footer="0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zoomScale="85" zoomScaleNormal="85" workbookViewId="0">
      <pane xSplit="1" topLeftCell="B1" activePane="topRight" state="frozen"/>
      <selection pane="topRight" activeCell="B1" sqref="B1"/>
    </sheetView>
  </sheetViews>
  <sheetFormatPr baseColWidth="10" defaultRowHeight="12.75" outlineLevelRow="1" x14ac:dyDescent="0.2"/>
  <cols>
    <col min="1" max="1" width="47.140625" customWidth="1"/>
    <col min="2" max="14" width="14.28515625" customWidth="1"/>
  </cols>
  <sheetData>
    <row r="1" spans="1:14" ht="15.75" x14ac:dyDescent="0.25">
      <c r="B1" s="25" t="s">
        <v>116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30">
        <v>2015</v>
      </c>
    </row>
    <row r="2" spans="1:14" x14ac:dyDescent="0.2">
      <c r="B2" s="26" t="s">
        <v>129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4" ht="15" x14ac:dyDescent="0.25">
      <c r="B3" s="27" t="s">
        <v>133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4" x14ac:dyDescent="0.2">
      <c r="B4" s="28" t="s">
        <v>134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1:14" x14ac:dyDescent="0.2">
      <c r="A5" s="3"/>
      <c r="B5" s="6" t="s">
        <v>130</v>
      </c>
    </row>
    <row r="6" spans="1:14" x14ac:dyDescent="0.2">
      <c r="A6" s="23" t="s">
        <v>82</v>
      </c>
      <c r="B6" s="23" t="s">
        <v>83</v>
      </c>
      <c r="C6" s="23" t="s">
        <v>84</v>
      </c>
      <c r="D6" s="23" t="s">
        <v>118</v>
      </c>
      <c r="E6" s="23" t="s">
        <v>85</v>
      </c>
      <c r="F6" s="23" t="s">
        <v>86</v>
      </c>
      <c r="G6" s="23" t="s">
        <v>87</v>
      </c>
      <c r="H6" s="23" t="s">
        <v>119</v>
      </c>
      <c r="I6" s="23" t="s">
        <v>120</v>
      </c>
      <c r="J6" s="23" t="s">
        <v>121</v>
      </c>
      <c r="K6" s="23" t="s">
        <v>122</v>
      </c>
      <c r="L6" s="23" t="s">
        <v>123</v>
      </c>
      <c r="M6" s="23" t="s">
        <v>124</v>
      </c>
      <c r="N6" s="23" t="s">
        <v>125</v>
      </c>
    </row>
    <row r="7" spans="1:14" s="1" customFormat="1" x14ac:dyDescent="0.2">
      <c r="A7" s="2" t="s">
        <v>108</v>
      </c>
      <c r="B7" s="10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166</v>
      </c>
      <c r="M7" s="9">
        <v>84</v>
      </c>
      <c r="N7" s="9">
        <f t="shared" ref="N7:N14" si="0">SUM(B7:M7)</f>
        <v>250</v>
      </c>
    </row>
    <row r="8" spans="1:14" s="1" customFormat="1" x14ac:dyDescent="0.2">
      <c r="A8" s="2" t="s">
        <v>2</v>
      </c>
      <c r="B8" s="10">
        <v>0</v>
      </c>
      <c r="C8" s="9">
        <v>0</v>
      </c>
      <c r="D8" s="9">
        <v>1</v>
      </c>
      <c r="E8" s="9">
        <v>0</v>
      </c>
      <c r="F8" s="9">
        <v>75</v>
      </c>
      <c r="G8" s="9">
        <v>60</v>
      </c>
      <c r="H8" s="9">
        <v>1257</v>
      </c>
      <c r="I8" s="9">
        <v>6042</v>
      </c>
      <c r="J8" s="9">
        <v>0</v>
      </c>
      <c r="K8" s="9">
        <v>0</v>
      </c>
      <c r="L8" s="9">
        <v>10</v>
      </c>
      <c r="M8" s="9">
        <v>0</v>
      </c>
      <c r="N8" s="9">
        <f t="shared" si="0"/>
        <v>7445</v>
      </c>
    </row>
    <row r="9" spans="1:14" s="1" customFormat="1" x14ac:dyDescent="0.2">
      <c r="A9" s="2" t="s">
        <v>1</v>
      </c>
      <c r="B9" s="10">
        <v>0</v>
      </c>
      <c r="C9" s="9">
        <v>975</v>
      </c>
      <c r="D9" s="9">
        <v>310</v>
      </c>
      <c r="E9" s="9">
        <v>1417</v>
      </c>
      <c r="F9" s="9">
        <v>1053.3980999999999</v>
      </c>
      <c r="G9" s="9">
        <v>1533</v>
      </c>
      <c r="H9" s="9">
        <v>399.82459999999998</v>
      </c>
      <c r="I9" s="9">
        <v>2745</v>
      </c>
      <c r="J9" s="9">
        <v>755.02379999999994</v>
      </c>
      <c r="K9" s="9">
        <v>5584</v>
      </c>
      <c r="L9" s="9">
        <v>353.34840000000003</v>
      </c>
      <c r="M9" s="9">
        <v>1315</v>
      </c>
      <c r="N9" s="9">
        <f t="shared" si="0"/>
        <v>16440.594900000004</v>
      </c>
    </row>
    <row r="10" spans="1:14" s="1" customFormat="1" x14ac:dyDescent="0.2">
      <c r="A10" s="2" t="s">
        <v>27</v>
      </c>
      <c r="B10" s="10">
        <v>1247247</v>
      </c>
      <c r="C10" s="9">
        <v>1228789.0999999999</v>
      </c>
      <c r="D10" s="9">
        <v>1321204</v>
      </c>
      <c r="E10" s="9">
        <v>1122712.8</v>
      </c>
      <c r="F10" s="9">
        <v>1380764</v>
      </c>
      <c r="G10" s="9">
        <v>1627691</v>
      </c>
      <c r="H10" s="9">
        <v>1576854.1</v>
      </c>
      <c r="I10" s="9">
        <v>1694161</v>
      </c>
      <c r="J10" s="9">
        <v>1590835</v>
      </c>
      <c r="K10" s="9">
        <v>1590465</v>
      </c>
      <c r="L10" s="9">
        <v>1609391</v>
      </c>
      <c r="M10" s="9">
        <v>1772686</v>
      </c>
      <c r="N10" s="9">
        <f t="shared" si="0"/>
        <v>17762800</v>
      </c>
    </row>
    <row r="11" spans="1:14" s="1" customFormat="1" x14ac:dyDescent="0.2">
      <c r="A11" s="2" t="s">
        <v>57</v>
      </c>
      <c r="B11" s="10">
        <v>0</v>
      </c>
      <c r="C11" s="9">
        <v>0</v>
      </c>
      <c r="D11" s="9">
        <v>17138</v>
      </c>
      <c r="E11" s="9">
        <v>45859</v>
      </c>
      <c r="F11" s="9">
        <v>69045</v>
      </c>
      <c r="G11" s="9">
        <v>11998</v>
      </c>
      <c r="H11" s="9">
        <v>12954</v>
      </c>
      <c r="I11" s="9">
        <v>32076</v>
      </c>
      <c r="J11" s="9">
        <v>21528</v>
      </c>
      <c r="K11" s="9">
        <v>6035</v>
      </c>
      <c r="L11" s="9">
        <v>0</v>
      </c>
      <c r="M11" s="9">
        <v>0</v>
      </c>
      <c r="N11" s="9">
        <f t="shared" si="0"/>
        <v>216633</v>
      </c>
    </row>
    <row r="12" spans="1:14" s="1" customFormat="1" x14ac:dyDescent="0.2">
      <c r="A12" s="2" t="s">
        <v>23</v>
      </c>
      <c r="B12" s="10">
        <v>61856</v>
      </c>
      <c r="C12" s="9">
        <v>37399</v>
      </c>
      <c r="D12" s="9">
        <v>53390</v>
      </c>
      <c r="E12" s="9">
        <v>59639</v>
      </c>
      <c r="F12" s="9">
        <v>44372.1</v>
      </c>
      <c r="G12" s="9">
        <v>16984.419999999998</v>
      </c>
      <c r="H12" s="9">
        <v>42413</v>
      </c>
      <c r="I12" s="9">
        <v>27273</v>
      </c>
      <c r="J12" s="9">
        <v>31721</v>
      </c>
      <c r="K12" s="9">
        <v>21620.16</v>
      </c>
      <c r="L12" s="9">
        <v>12647</v>
      </c>
      <c r="M12" s="9">
        <v>14663</v>
      </c>
      <c r="N12" s="9">
        <f t="shared" si="0"/>
        <v>423977.68</v>
      </c>
    </row>
    <row r="13" spans="1:14" s="1" customFormat="1" ht="15" x14ac:dyDescent="0.25">
      <c r="A13" s="38" t="s">
        <v>28</v>
      </c>
      <c r="B13" s="10">
        <v>0</v>
      </c>
      <c r="C13" s="9">
        <v>0</v>
      </c>
      <c r="D13" s="9">
        <v>0</v>
      </c>
      <c r="E13" s="9">
        <v>0</v>
      </c>
      <c r="F13" s="9">
        <v>9230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f t="shared" si="0"/>
        <v>9230</v>
      </c>
    </row>
    <row r="14" spans="1:14" s="1" customFormat="1" x14ac:dyDescent="0.2">
      <c r="A14" s="2" t="s">
        <v>194</v>
      </c>
      <c r="B14" s="10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24173</v>
      </c>
      <c r="I14" s="9">
        <v>204528</v>
      </c>
      <c r="J14" s="9">
        <v>218319</v>
      </c>
      <c r="K14" s="9">
        <v>283604</v>
      </c>
      <c r="L14" s="9">
        <v>422235</v>
      </c>
      <c r="M14" s="9">
        <v>718473</v>
      </c>
      <c r="N14" s="9">
        <f t="shared" si="0"/>
        <v>1871332</v>
      </c>
    </row>
    <row r="15" spans="1:14" x14ac:dyDescent="0.2">
      <c r="A15" s="20" t="s">
        <v>0</v>
      </c>
      <c r="B15" s="21">
        <f>SUM(B8:B14)</f>
        <v>1309103</v>
      </c>
      <c r="C15" s="21">
        <f t="shared" ref="C15:J15" si="1">SUM(C8:C14)</f>
        <v>1267163.0999999999</v>
      </c>
      <c r="D15" s="21">
        <f t="shared" si="1"/>
        <v>1392043</v>
      </c>
      <c r="E15" s="21">
        <f t="shared" si="1"/>
        <v>1229627.8</v>
      </c>
      <c r="F15" s="21">
        <f t="shared" si="1"/>
        <v>1504539.4981000002</v>
      </c>
      <c r="G15" s="21">
        <f t="shared" si="1"/>
        <v>1658266.42</v>
      </c>
      <c r="H15" s="21">
        <f t="shared" si="1"/>
        <v>1658050.9246</v>
      </c>
      <c r="I15" s="21">
        <f t="shared" si="1"/>
        <v>1966825</v>
      </c>
      <c r="J15" s="21">
        <f t="shared" si="1"/>
        <v>1863158.0238000001</v>
      </c>
      <c r="K15" s="21">
        <f>SUM(K7:K14)</f>
        <v>1907308.16</v>
      </c>
      <c r="L15" s="21">
        <f t="shared" ref="L15:N15" si="2">SUM(L7:L14)</f>
        <v>2044802.3484</v>
      </c>
      <c r="M15" s="21">
        <f t="shared" si="2"/>
        <v>2507221</v>
      </c>
      <c r="N15" s="21">
        <f t="shared" si="2"/>
        <v>20308108.274900001</v>
      </c>
    </row>
    <row r="16" spans="1:14" x14ac:dyDescent="0.2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4" x14ac:dyDescent="0.2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">
      <c r="A18" s="4" t="s">
        <v>132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x14ac:dyDescent="0.2">
      <c r="A19" s="6" t="s">
        <v>135</v>
      </c>
    </row>
    <row r="21" spans="1:14" x14ac:dyDescent="0.2">
      <c r="A21" s="23" t="s">
        <v>82</v>
      </c>
      <c r="B21" s="23" t="s">
        <v>83</v>
      </c>
      <c r="C21" s="23" t="s">
        <v>84</v>
      </c>
      <c r="D21" s="23" t="s">
        <v>118</v>
      </c>
      <c r="E21" s="23" t="s">
        <v>85</v>
      </c>
      <c r="F21" s="23" t="s">
        <v>86</v>
      </c>
      <c r="G21" s="23" t="s">
        <v>87</v>
      </c>
      <c r="H21" s="23" t="s">
        <v>119</v>
      </c>
      <c r="I21" s="23" t="s">
        <v>120</v>
      </c>
      <c r="J21" s="23" t="s">
        <v>121</v>
      </c>
      <c r="K21" s="23" t="s">
        <v>122</v>
      </c>
      <c r="L21" s="23" t="s">
        <v>123</v>
      </c>
      <c r="M21" s="23" t="s">
        <v>124</v>
      </c>
      <c r="N21" s="23" t="s">
        <v>125</v>
      </c>
    </row>
    <row r="22" spans="1:14" x14ac:dyDescent="0.2">
      <c r="A22" s="7" t="s">
        <v>2</v>
      </c>
      <c r="B22" s="10">
        <v>85</v>
      </c>
      <c r="C22" s="9">
        <v>130</v>
      </c>
      <c r="D22" s="9">
        <v>2258</v>
      </c>
      <c r="E22" s="9">
        <v>20</v>
      </c>
      <c r="F22" s="9">
        <v>0</v>
      </c>
      <c r="G22" s="9">
        <v>60</v>
      </c>
      <c r="H22" s="9">
        <v>52</v>
      </c>
      <c r="I22" s="9">
        <v>0</v>
      </c>
      <c r="J22" s="9">
        <v>0</v>
      </c>
      <c r="K22" s="9">
        <v>10197</v>
      </c>
      <c r="L22" s="9">
        <v>0</v>
      </c>
      <c r="M22" s="9">
        <v>30</v>
      </c>
      <c r="N22" s="9">
        <f>SUM(B22:M22)</f>
        <v>12832</v>
      </c>
    </row>
    <row r="23" spans="1:14" x14ac:dyDescent="0.2">
      <c r="A23" s="7" t="s">
        <v>1</v>
      </c>
      <c r="B23" s="10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50</v>
      </c>
      <c r="I23" s="9">
        <v>0</v>
      </c>
      <c r="J23" s="9">
        <v>0</v>
      </c>
      <c r="K23" s="9">
        <v>35</v>
      </c>
      <c r="L23" s="9">
        <v>0</v>
      </c>
      <c r="M23" s="9">
        <v>0</v>
      </c>
      <c r="N23" s="9">
        <f t="shared" ref="N23:N27" si="3">SUM(B23:M23)</f>
        <v>85</v>
      </c>
    </row>
    <row r="24" spans="1:14" x14ac:dyDescent="0.2">
      <c r="A24" s="7" t="s">
        <v>27</v>
      </c>
      <c r="B24" s="10">
        <v>140811</v>
      </c>
      <c r="C24" s="9">
        <v>104081</v>
      </c>
      <c r="D24" s="9">
        <v>121888.8</v>
      </c>
      <c r="E24" s="9">
        <v>65522</v>
      </c>
      <c r="F24" s="9">
        <v>217721</v>
      </c>
      <c r="G24" s="9">
        <v>146520</v>
      </c>
      <c r="H24" s="9">
        <v>25122</v>
      </c>
      <c r="I24" s="9">
        <v>61857</v>
      </c>
      <c r="J24" s="9">
        <v>187665</v>
      </c>
      <c r="K24" s="9">
        <v>244299</v>
      </c>
      <c r="L24" s="9">
        <v>406235</v>
      </c>
      <c r="M24" s="9">
        <v>116288</v>
      </c>
      <c r="N24" s="9">
        <f t="shared" si="3"/>
        <v>1838009.8</v>
      </c>
    </row>
    <row r="25" spans="1:14" x14ac:dyDescent="0.2">
      <c r="A25" s="7" t="s">
        <v>57</v>
      </c>
      <c r="B25" s="10">
        <v>49534</v>
      </c>
      <c r="C25" s="9">
        <v>82552</v>
      </c>
      <c r="D25" s="9">
        <v>6853</v>
      </c>
      <c r="E25" s="9">
        <v>0</v>
      </c>
      <c r="F25" s="9">
        <v>170649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f t="shared" si="3"/>
        <v>309588</v>
      </c>
    </row>
    <row r="26" spans="1:14" x14ac:dyDescent="0.2">
      <c r="A26" s="7" t="s">
        <v>29</v>
      </c>
      <c r="B26" s="10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890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f t="shared" si="3"/>
        <v>890</v>
      </c>
    </row>
    <row r="27" spans="1:14" x14ac:dyDescent="0.2">
      <c r="A27" s="2" t="s">
        <v>174</v>
      </c>
      <c r="B27" s="10">
        <v>0</v>
      </c>
      <c r="C27" s="9">
        <v>0</v>
      </c>
      <c r="D27" s="9">
        <v>0</v>
      </c>
      <c r="E27" s="9">
        <v>0</v>
      </c>
      <c r="F27" s="9">
        <v>2900</v>
      </c>
      <c r="G27" s="9">
        <v>2000</v>
      </c>
      <c r="H27" s="9">
        <v>4000</v>
      </c>
      <c r="I27" s="9">
        <v>1300</v>
      </c>
      <c r="J27" s="9">
        <v>300</v>
      </c>
      <c r="K27" s="9">
        <v>0</v>
      </c>
      <c r="L27" s="9">
        <v>0</v>
      </c>
      <c r="M27" s="9">
        <v>0</v>
      </c>
      <c r="N27" s="9">
        <f t="shared" si="3"/>
        <v>10500</v>
      </c>
    </row>
    <row r="28" spans="1:14" x14ac:dyDescent="0.2">
      <c r="A28" s="20" t="s">
        <v>0</v>
      </c>
      <c r="B28" s="21">
        <f>SUM(B22:B27)</f>
        <v>190430</v>
      </c>
      <c r="C28" s="21">
        <f t="shared" ref="C28:F28" si="4">SUM(C22:C27)</f>
        <v>186763</v>
      </c>
      <c r="D28" s="21">
        <f t="shared" si="4"/>
        <v>130999.8</v>
      </c>
      <c r="E28" s="21">
        <f t="shared" si="4"/>
        <v>65542</v>
      </c>
      <c r="F28" s="21">
        <f t="shared" si="4"/>
        <v>391270</v>
      </c>
      <c r="G28" s="21">
        <f>SUM(G22:G27)</f>
        <v>148580</v>
      </c>
      <c r="H28" s="21">
        <f t="shared" ref="H28:N28" si="5">SUM(H22:H27)</f>
        <v>30114</v>
      </c>
      <c r="I28" s="21">
        <f t="shared" si="5"/>
        <v>63157</v>
      </c>
      <c r="J28" s="21">
        <f t="shared" si="5"/>
        <v>187965</v>
      </c>
      <c r="K28" s="21">
        <f t="shared" si="5"/>
        <v>254531</v>
      </c>
      <c r="L28" s="21">
        <f t="shared" si="5"/>
        <v>406235</v>
      </c>
      <c r="M28" s="21">
        <f t="shared" si="5"/>
        <v>116318</v>
      </c>
      <c r="N28" s="21">
        <f t="shared" si="5"/>
        <v>2171904.7999999998</v>
      </c>
    </row>
    <row r="31" spans="1:14" x14ac:dyDescent="0.2">
      <c r="A31" s="4" t="s">
        <v>131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4" x14ac:dyDescent="0.2">
      <c r="A32" s="6" t="s">
        <v>135</v>
      </c>
    </row>
    <row r="33" spans="1:14" x14ac:dyDescent="0.2">
      <c r="A33" s="6"/>
    </row>
    <row r="34" spans="1:14" x14ac:dyDescent="0.2">
      <c r="A34" s="23" t="s">
        <v>82</v>
      </c>
      <c r="B34" s="23" t="s">
        <v>83</v>
      </c>
      <c r="C34" s="23" t="s">
        <v>84</v>
      </c>
      <c r="D34" s="23" t="s">
        <v>118</v>
      </c>
      <c r="E34" s="23" t="s">
        <v>85</v>
      </c>
      <c r="F34" s="23" t="s">
        <v>86</v>
      </c>
      <c r="G34" s="23" t="s">
        <v>87</v>
      </c>
      <c r="H34" s="23" t="s">
        <v>119</v>
      </c>
      <c r="I34" s="23" t="s">
        <v>120</v>
      </c>
      <c r="J34" s="23" t="s">
        <v>121</v>
      </c>
      <c r="K34" s="23" t="s">
        <v>122</v>
      </c>
      <c r="L34" s="23" t="s">
        <v>123</v>
      </c>
      <c r="M34" s="23" t="s">
        <v>124</v>
      </c>
      <c r="N34" s="23" t="s">
        <v>125</v>
      </c>
    </row>
    <row r="35" spans="1:14" s="1" customFormat="1" ht="12" customHeight="1" x14ac:dyDescent="0.2">
      <c r="A35" s="22" t="s">
        <v>127</v>
      </c>
      <c r="B35" s="33">
        <f t="shared" ref="B35:N35" si="6">SUM(B36:B51)</f>
        <v>650808</v>
      </c>
      <c r="C35" s="33">
        <f t="shared" si="6"/>
        <v>716626</v>
      </c>
      <c r="D35" s="33">
        <f t="shared" si="6"/>
        <v>1005111</v>
      </c>
      <c r="E35" s="33">
        <f t="shared" si="6"/>
        <v>774273</v>
      </c>
      <c r="F35" s="33">
        <f t="shared" si="6"/>
        <v>699805</v>
      </c>
      <c r="G35" s="33">
        <f t="shared" si="6"/>
        <v>1328300</v>
      </c>
      <c r="H35" s="33">
        <f t="shared" si="6"/>
        <v>1123334</v>
      </c>
      <c r="I35" s="33">
        <f t="shared" si="6"/>
        <v>1062433</v>
      </c>
      <c r="J35" s="33">
        <f t="shared" si="6"/>
        <v>1568102</v>
      </c>
      <c r="K35" s="33">
        <f t="shared" si="6"/>
        <v>1577618</v>
      </c>
      <c r="L35" s="33">
        <f t="shared" si="6"/>
        <v>1382892</v>
      </c>
      <c r="M35" s="33">
        <f t="shared" si="6"/>
        <v>1249087</v>
      </c>
      <c r="N35" s="33">
        <f t="shared" si="6"/>
        <v>13138389</v>
      </c>
    </row>
    <row r="36" spans="1:14" s="1" customFormat="1" ht="13.5" hidden="1" customHeight="1" outlineLevel="1" x14ac:dyDescent="0.2">
      <c r="A36" s="11" t="s">
        <v>105</v>
      </c>
      <c r="B36" s="10">
        <v>23891</v>
      </c>
      <c r="C36" s="9">
        <v>0</v>
      </c>
      <c r="D36" s="9">
        <v>0</v>
      </c>
      <c r="E36" s="9">
        <v>14344</v>
      </c>
      <c r="F36" s="9">
        <v>14882</v>
      </c>
      <c r="G36" s="9">
        <v>21214</v>
      </c>
      <c r="H36" s="9">
        <v>15724</v>
      </c>
      <c r="I36" s="9">
        <v>0</v>
      </c>
      <c r="J36" s="9">
        <v>7739</v>
      </c>
      <c r="K36" s="9">
        <v>0</v>
      </c>
      <c r="L36" s="9">
        <v>8513</v>
      </c>
      <c r="M36" s="9">
        <v>25834</v>
      </c>
      <c r="N36" s="9">
        <f t="shared" ref="N36:N51" si="7">SUM(B36:M36)</f>
        <v>132141</v>
      </c>
    </row>
    <row r="37" spans="1:14" s="1" customFormat="1" ht="12.75" hidden="1" customHeight="1" outlineLevel="1" x14ac:dyDescent="0.2">
      <c r="A37" s="11" t="s">
        <v>17</v>
      </c>
      <c r="B37" s="10">
        <v>35684</v>
      </c>
      <c r="C37" s="9">
        <v>0</v>
      </c>
      <c r="D37" s="9">
        <v>0</v>
      </c>
      <c r="E37" s="9">
        <v>0</v>
      </c>
      <c r="F37" s="9">
        <v>46363</v>
      </c>
      <c r="G37" s="9">
        <v>0</v>
      </c>
      <c r="H37" s="9">
        <v>0</v>
      </c>
      <c r="I37" s="9">
        <v>0</v>
      </c>
      <c r="J37" s="9">
        <v>0</v>
      </c>
      <c r="K37" s="9">
        <v>641</v>
      </c>
      <c r="L37" s="9">
        <v>12244</v>
      </c>
      <c r="M37" s="9">
        <v>0</v>
      </c>
      <c r="N37" s="9">
        <f t="shared" si="7"/>
        <v>94932</v>
      </c>
    </row>
    <row r="38" spans="1:14" s="1" customFormat="1" ht="12.75" hidden="1" customHeight="1" outlineLevel="1" x14ac:dyDescent="0.2">
      <c r="A38" s="11" t="s">
        <v>75</v>
      </c>
      <c r="B38" s="10">
        <v>8355</v>
      </c>
      <c r="C38" s="9">
        <v>15440</v>
      </c>
      <c r="D38" s="9">
        <v>29117</v>
      </c>
      <c r="E38" s="9">
        <v>0</v>
      </c>
      <c r="F38" s="9">
        <v>0</v>
      </c>
      <c r="G38" s="9">
        <v>53510</v>
      </c>
      <c r="H38" s="9">
        <v>38000</v>
      </c>
      <c r="I38" s="9">
        <v>7619</v>
      </c>
      <c r="J38" s="9">
        <v>15536</v>
      </c>
      <c r="K38" s="9">
        <v>30151</v>
      </c>
      <c r="L38" s="9">
        <v>47218</v>
      </c>
      <c r="M38" s="9">
        <v>47494</v>
      </c>
      <c r="N38" s="9">
        <f t="shared" si="7"/>
        <v>292440</v>
      </c>
    </row>
    <row r="39" spans="1:14" s="1" customFormat="1" ht="12.75" hidden="1" customHeight="1" outlineLevel="1" x14ac:dyDescent="0.2">
      <c r="A39" s="11" t="s">
        <v>52</v>
      </c>
      <c r="B39" s="10">
        <v>0</v>
      </c>
      <c r="C39" s="9">
        <v>0</v>
      </c>
      <c r="D39" s="9">
        <v>106986</v>
      </c>
      <c r="E39" s="9">
        <v>0</v>
      </c>
      <c r="F39" s="9">
        <v>106582</v>
      </c>
      <c r="G39" s="9">
        <v>82214</v>
      </c>
      <c r="H39" s="9">
        <v>0</v>
      </c>
      <c r="I39" s="9">
        <v>0</v>
      </c>
      <c r="J39" s="9">
        <v>0</v>
      </c>
      <c r="K39" s="9">
        <v>434041</v>
      </c>
      <c r="L39" s="9">
        <v>472071</v>
      </c>
      <c r="M39" s="9">
        <v>419530</v>
      </c>
      <c r="N39" s="9">
        <f t="shared" si="7"/>
        <v>1621424</v>
      </c>
    </row>
    <row r="40" spans="1:14" s="1" customFormat="1" ht="12.75" hidden="1" customHeight="1" outlineLevel="1" x14ac:dyDescent="0.2">
      <c r="A40" s="12" t="s">
        <v>163</v>
      </c>
      <c r="B40" s="10">
        <v>0</v>
      </c>
      <c r="C40" s="9">
        <v>8840</v>
      </c>
      <c r="D40" s="9">
        <v>34330</v>
      </c>
      <c r="E40" s="9">
        <v>15495</v>
      </c>
      <c r="F40" s="9">
        <v>13912</v>
      </c>
      <c r="G40" s="9">
        <v>29197</v>
      </c>
      <c r="H40" s="9">
        <v>0</v>
      </c>
      <c r="I40" s="9">
        <v>6828</v>
      </c>
      <c r="J40" s="9">
        <v>7734</v>
      </c>
      <c r="K40" s="9">
        <v>17126</v>
      </c>
      <c r="L40" s="9">
        <v>0</v>
      </c>
      <c r="M40" s="9">
        <v>44444</v>
      </c>
      <c r="N40" s="9">
        <f t="shared" si="7"/>
        <v>177906</v>
      </c>
    </row>
    <row r="41" spans="1:14" s="1" customFormat="1" ht="12.75" hidden="1" customHeight="1" outlineLevel="1" x14ac:dyDescent="0.2">
      <c r="A41" s="12" t="s">
        <v>93</v>
      </c>
      <c r="B41" s="10">
        <v>8074</v>
      </c>
      <c r="C41" s="9">
        <v>0</v>
      </c>
      <c r="D41" s="9">
        <v>102133</v>
      </c>
      <c r="E41" s="9">
        <v>327043</v>
      </c>
      <c r="F41" s="9">
        <v>66734</v>
      </c>
      <c r="G41" s="9">
        <v>331267</v>
      </c>
      <c r="H41" s="9">
        <v>178283</v>
      </c>
      <c r="I41" s="9">
        <v>145253</v>
      </c>
      <c r="J41" s="9">
        <v>249481</v>
      </c>
      <c r="K41" s="9">
        <v>449398</v>
      </c>
      <c r="L41" s="9">
        <v>232984</v>
      </c>
      <c r="M41" s="9">
        <v>57556</v>
      </c>
      <c r="N41" s="9">
        <f t="shared" si="7"/>
        <v>2148206</v>
      </c>
    </row>
    <row r="42" spans="1:14" s="1" customFormat="1" ht="12.75" hidden="1" customHeight="1" outlineLevel="1" x14ac:dyDescent="0.2">
      <c r="A42" s="12" t="s">
        <v>14</v>
      </c>
      <c r="B42" s="10">
        <v>0</v>
      </c>
      <c r="C42" s="9">
        <v>28215</v>
      </c>
      <c r="D42" s="9">
        <v>41489</v>
      </c>
      <c r="E42" s="9">
        <v>0</v>
      </c>
      <c r="F42" s="9">
        <v>0</v>
      </c>
      <c r="G42" s="9">
        <v>36089</v>
      </c>
      <c r="H42" s="9">
        <v>0</v>
      </c>
      <c r="I42" s="9">
        <v>16324</v>
      </c>
      <c r="J42" s="9">
        <v>0</v>
      </c>
      <c r="K42" s="9">
        <v>52502</v>
      </c>
      <c r="L42" s="9">
        <v>0</v>
      </c>
      <c r="M42" s="9">
        <v>0</v>
      </c>
      <c r="N42" s="9">
        <f t="shared" si="7"/>
        <v>174619</v>
      </c>
    </row>
    <row r="43" spans="1:14" s="1" customFormat="1" ht="12.75" hidden="1" customHeight="1" outlineLevel="1" x14ac:dyDescent="0.2">
      <c r="A43" s="12" t="s">
        <v>175</v>
      </c>
      <c r="B43" s="10">
        <v>0</v>
      </c>
      <c r="C43" s="9">
        <v>0</v>
      </c>
      <c r="D43" s="9">
        <v>36588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f t="shared" si="7"/>
        <v>36588</v>
      </c>
    </row>
    <row r="44" spans="1:14" s="1" customFormat="1" ht="12.75" hidden="1" customHeight="1" outlineLevel="1" x14ac:dyDescent="0.2">
      <c r="A44" s="11" t="s">
        <v>24</v>
      </c>
      <c r="B44" s="10">
        <v>332170</v>
      </c>
      <c r="C44" s="9">
        <v>311735</v>
      </c>
      <c r="D44" s="9">
        <v>274787</v>
      </c>
      <c r="E44" s="9">
        <v>275423</v>
      </c>
      <c r="F44" s="9">
        <v>214416</v>
      </c>
      <c r="G44" s="9">
        <v>271050</v>
      </c>
      <c r="H44" s="9">
        <v>309222</v>
      </c>
      <c r="I44" s="9">
        <v>224613</v>
      </c>
      <c r="J44" s="9">
        <v>206561</v>
      </c>
      <c r="K44" s="9">
        <v>306649</v>
      </c>
      <c r="L44" s="9">
        <v>111282</v>
      </c>
      <c r="M44" s="9">
        <v>224966</v>
      </c>
      <c r="N44" s="9">
        <f t="shared" si="7"/>
        <v>3062874</v>
      </c>
    </row>
    <row r="45" spans="1:14" s="1" customFormat="1" ht="12.75" hidden="1" customHeight="1" outlineLevel="1" x14ac:dyDescent="0.2">
      <c r="A45" s="11" t="s">
        <v>47</v>
      </c>
      <c r="B45" s="10">
        <v>88382</v>
      </c>
      <c r="C45" s="9">
        <v>85023</v>
      </c>
      <c r="D45" s="9">
        <v>84189</v>
      </c>
      <c r="E45" s="9">
        <v>68991</v>
      </c>
      <c r="F45" s="9">
        <v>80759</v>
      </c>
      <c r="G45" s="9">
        <v>162018</v>
      </c>
      <c r="H45" s="9">
        <v>67770</v>
      </c>
      <c r="I45" s="9">
        <v>150951</v>
      </c>
      <c r="J45" s="9">
        <v>100510</v>
      </c>
      <c r="K45" s="9">
        <v>94608</v>
      </c>
      <c r="L45" s="9">
        <v>124580</v>
      </c>
      <c r="M45" s="9">
        <v>99186</v>
      </c>
      <c r="N45" s="9">
        <f t="shared" si="7"/>
        <v>1206967</v>
      </c>
    </row>
    <row r="46" spans="1:14" s="1" customFormat="1" ht="12.75" hidden="1" customHeight="1" outlineLevel="1" x14ac:dyDescent="0.2">
      <c r="A46" s="11" t="s">
        <v>104</v>
      </c>
      <c r="B46" s="10">
        <v>44453</v>
      </c>
      <c r="C46" s="9">
        <v>0</v>
      </c>
      <c r="D46" s="9">
        <v>52235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51618</v>
      </c>
      <c r="N46" s="9">
        <f t="shared" si="7"/>
        <v>148306</v>
      </c>
    </row>
    <row r="47" spans="1:14" s="1" customFormat="1" ht="12.75" hidden="1" customHeight="1" outlineLevel="1" x14ac:dyDescent="0.2">
      <c r="A47" s="47" t="s">
        <v>192</v>
      </c>
      <c r="B47" s="10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12154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f t="shared" si="7"/>
        <v>12154</v>
      </c>
    </row>
    <row r="48" spans="1:14" s="1" customFormat="1" ht="12.75" hidden="1" customHeight="1" outlineLevel="1" x14ac:dyDescent="0.2">
      <c r="A48" s="11" t="s">
        <v>164</v>
      </c>
      <c r="B48" s="10">
        <v>0</v>
      </c>
      <c r="C48" s="9">
        <v>17027</v>
      </c>
      <c r="D48" s="9">
        <v>42864</v>
      </c>
      <c r="E48" s="9">
        <v>0</v>
      </c>
      <c r="F48" s="9">
        <v>9662</v>
      </c>
      <c r="G48" s="9">
        <v>50280</v>
      </c>
      <c r="H48" s="9">
        <v>0</v>
      </c>
      <c r="I48" s="9">
        <v>20439</v>
      </c>
      <c r="J48" s="9">
        <v>0</v>
      </c>
      <c r="K48" s="9">
        <v>0</v>
      </c>
      <c r="L48" s="9">
        <v>31972</v>
      </c>
      <c r="M48" s="9">
        <v>8519</v>
      </c>
      <c r="N48" s="9">
        <f t="shared" si="7"/>
        <v>180763</v>
      </c>
    </row>
    <row r="49" spans="1:14" s="1" customFormat="1" ht="12.75" hidden="1" customHeight="1" outlineLevel="1" x14ac:dyDescent="0.2">
      <c r="A49" s="11" t="s">
        <v>165</v>
      </c>
      <c r="B49" s="10">
        <v>0</v>
      </c>
      <c r="C49" s="9">
        <v>210098</v>
      </c>
      <c r="D49" s="9">
        <v>0</v>
      </c>
      <c r="E49" s="9">
        <v>0</v>
      </c>
      <c r="F49" s="9">
        <v>50295</v>
      </c>
      <c r="G49" s="9">
        <v>49224</v>
      </c>
      <c r="H49" s="9">
        <v>314626</v>
      </c>
      <c r="I49" s="9">
        <v>281046</v>
      </c>
      <c r="J49" s="9">
        <v>809267</v>
      </c>
      <c r="K49" s="9">
        <v>129196</v>
      </c>
      <c r="L49" s="9">
        <v>94761</v>
      </c>
      <c r="M49" s="9">
        <v>0</v>
      </c>
      <c r="N49" s="9">
        <f t="shared" si="7"/>
        <v>1938513</v>
      </c>
    </row>
    <row r="50" spans="1:14" s="1" customFormat="1" ht="12.75" hidden="1" customHeight="1" outlineLevel="1" x14ac:dyDescent="0.2">
      <c r="A50" s="14" t="s">
        <v>202</v>
      </c>
      <c r="B50" s="10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8810</v>
      </c>
      <c r="M50" s="9">
        <v>0</v>
      </c>
      <c r="N50" s="9">
        <f t="shared" si="7"/>
        <v>8810</v>
      </c>
    </row>
    <row r="51" spans="1:14" ht="12.75" hidden="1" customHeight="1" outlineLevel="1" x14ac:dyDescent="0.2">
      <c r="A51" s="11" t="s">
        <v>25</v>
      </c>
      <c r="B51" s="10">
        <v>109799</v>
      </c>
      <c r="C51" s="9">
        <v>40248</v>
      </c>
      <c r="D51" s="9">
        <v>200393</v>
      </c>
      <c r="E51" s="9">
        <v>72977</v>
      </c>
      <c r="F51" s="9">
        <v>96200</v>
      </c>
      <c r="G51" s="9">
        <v>242237</v>
      </c>
      <c r="H51" s="9">
        <v>187555</v>
      </c>
      <c r="I51" s="9">
        <v>209360</v>
      </c>
      <c r="J51" s="9">
        <v>171274</v>
      </c>
      <c r="K51" s="9">
        <v>63306</v>
      </c>
      <c r="L51" s="9">
        <v>238457</v>
      </c>
      <c r="M51" s="9">
        <v>269940</v>
      </c>
      <c r="N51" s="9">
        <f t="shared" si="7"/>
        <v>1901746</v>
      </c>
    </row>
    <row r="52" spans="1:14" collapsed="1" x14ac:dyDescent="0.2">
      <c r="A52" s="22" t="s">
        <v>55</v>
      </c>
      <c r="B52" s="33">
        <f t="shared" ref="B52:N52" si="8">SUM(B53:B53)</f>
        <v>34344</v>
      </c>
      <c r="C52" s="33">
        <f t="shared" si="8"/>
        <v>0</v>
      </c>
      <c r="D52" s="33">
        <f t="shared" si="8"/>
        <v>0</v>
      </c>
      <c r="E52" s="33">
        <f t="shared" si="8"/>
        <v>28171</v>
      </c>
      <c r="F52" s="33">
        <f t="shared" si="8"/>
        <v>28563</v>
      </c>
      <c r="G52" s="33">
        <f t="shared" si="8"/>
        <v>0</v>
      </c>
      <c r="H52" s="33">
        <f t="shared" si="8"/>
        <v>27098</v>
      </c>
      <c r="I52" s="33">
        <f t="shared" si="8"/>
        <v>16461</v>
      </c>
      <c r="J52" s="33">
        <f t="shared" si="8"/>
        <v>0</v>
      </c>
      <c r="K52" s="33">
        <f t="shared" si="8"/>
        <v>0</v>
      </c>
      <c r="L52" s="33">
        <f t="shared" si="8"/>
        <v>13041</v>
      </c>
      <c r="M52" s="33">
        <f t="shared" si="8"/>
        <v>0</v>
      </c>
      <c r="N52" s="33">
        <f t="shared" si="8"/>
        <v>147678</v>
      </c>
    </row>
    <row r="53" spans="1:14" ht="12.75" hidden="1" customHeight="1" outlineLevel="1" x14ac:dyDescent="0.2">
      <c r="A53" s="11" t="s">
        <v>77</v>
      </c>
      <c r="B53" s="10">
        <v>34344</v>
      </c>
      <c r="C53" s="9">
        <v>0</v>
      </c>
      <c r="D53" s="9">
        <v>0</v>
      </c>
      <c r="E53" s="9">
        <v>28171</v>
      </c>
      <c r="F53" s="9">
        <v>28563</v>
      </c>
      <c r="G53" s="9">
        <v>0</v>
      </c>
      <c r="H53" s="9">
        <v>27098</v>
      </c>
      <c r="I53" s="9">
        <v>16461</v>
      </c>
      <c r="J53" s="9">
        <v>0</v>
      </c>
      <c r="K53" s="9">
        <v>0</v>
      </c>
      <c r="L53" s="9">
        <v>13041</v>
      </c>
      <c r="M53" s="9">
        <v>0</v>
      </c>
      <c r="N53" s="9">
        <f>SUM(B53:M53)</f>
        <v>147678</v>
      </c>
    </row>
    <row r="54" spans="1:14" ht="25.5" collapsed="1" x14ac:dyDescent="0.2">
      <c r="A54" s="22" t="s">
        <v>128</v>
      </c>
      <c r="B54" s="33">
        <f t="shared" ref="B54:N54" si="9">SUM(B55:B55)</f>
        <v>846</v>
      </c>
      <c r="C54" s="33">
        <f t="shared" si="9"/>
        <v>0</v>
      </c>
      <c r="D54" s="33">
        <f t="shared" si="9"/>
        <v>685</v>
      </c>
      <c r="E54" s="33">
        <f t="shared" si="9"/>
        <v>0</v>
      </c>
      <c r="F54" s="33">
        <f t="shared" si="9"/>
        <v>0</v>
      </c>
      <c r="G54" s="33">
        <f t="shared" si="9"/>
        <v>33</v>
      </c>
      <c r="H54" s="33">
        <f t="shared" si="9"/>
        <v>0</v>
      </c>
      <c r="I54" s="33">
        <f t="shared" si="9"/>
        <v>0</v>
      </c>
      <c r="J54" s="33">
        <f t="shared" si="9"/>
        <v>0</v>
      </c>
      <c r="K54" s="33">
        <f t="shared" si="9"/>
        <v>348</v>
      </c>
      <c r="L54" s="33">
        <f t="shared" si="9"/>
        <v>2583</v>
      </c>
      <c r="M54" s="33">
        <f t="shared" si="9"/>
        <v>0</v>
      </c>
      <c r="N54" s="33">
        <f t="shared" si="9"/>
        <v>4495</v>
      </c>
    </row>
    <row r="55" spans="1:14" hidden="1" outlineLevel="1" x14ac:dyDescent="0.2">
      <c r="A55" s="19" t="s">
        <v>31</v>
      </c>
      <c r="B55" s="10">
        <v>846</v>
      </c>
      <c r="C55" s="9">
        <v>0</v>
      </c>
      <c r="D55" s="9">
        <v>685</v>
      </c>
      <c r="E55" s="9">
        <v>0</v>
      </c>
      <c r="F55" s="9">
        <v>0</v>
      </c>
      <c r="G55" s="9">
        <v>33</v>
      </c>
      <c r="H55" s="9">
        <v>0</v>
      </c>
      <c r="I55" s="9">
        <v>0</v>
      </c>
      <c r="J55" s="9">
        <v>0</v>
      </c>
      <c r="K55" s="37">
        <v>348</v>
      </c>
      <c r="L55" s="9">
        <v>2583</v>
      </c>
      <c r="M55" s="9">
        <v>0</v>
      </c>
      <c r="N55" s="9">
        <f>SUM(B55:M55)</f>
        <v>4495</v>
      </c>
    </row>
    <row r="56" spans="1:14" collapsed="1" x14ac:dyDescent="0.2">
      <c r="A56" s="22" t="s">
        <v>100</v>
      </c>
      <c r="B56" s="33">
        <f t="shared" ref="B56:N56" si="10">SUM(B57:B57)</f>
        <v>583301</v>
      </c>
      <c r="C56" s="33">
        <f t="shared" si="10"/>
        <v>524247</v>
      </c>
      <c r="D56" s="33">
        <f t="shared" si="10"/>
        <v>552911</v>
      </c>
      <c r="E56" s="33">
        <f t="shared" si="10"/>
        <v>557017</v>
      </c>
      <c r="F56" s="33">
        <f t="shared" si="10"/>
        <v>751009</v>
      </c>
      <c r="G56" s="33">
        <f t="shared" si="10"/>
        <v>861298</v>
      </c>
      <c r="H56" s="33">
        <f t="shared" si="10"/>
        <v>0</v>
      </c>
      <c r="I56" s="33">
        <f t="shared" si="10"/>
        <v>0</v>
      </c>
      <c r="J56" s="33">
        <f t="shared" si="10"/>
        <v>0</v>
      </c>
      <c r="K56" s="33">
        <f t="shared" si="10"/>
        <v>0</v>
      </c>
      <c r="L56" s="33">
        <f t="shared" si="10"/>
        <v>0</v>
      </c>
      <c r="M56" s="33">
        <f t="shared" si="10"/>
        <v>0</v>
      </c>
      <c r="N56" s="33">
        <f t="shared" si="10"/>
        <v>3829783</v>
      </c>
    </row>
    <row r="57" spans="1:14" hidden="1" outlineLevel="1" x14ac:dyDescent="0.2">
      <c r="A57" s="31" t="s">
        <v>136</v>
      </c>
      <c r="B57" s="10">
        <v>583301</v>
      </c>
      <c r="C57" s="9">
        <v>524247</v>
      </c>
      <c r="D57" s="9">
        <v>552911</v>
      </c>
      <c r="E57" s="9">
        <v>557017</v>
      </c>
      <c r="F57" s="9">
        <v>751009</v>
      </c>
      <c r="G57" s="9">
        <v>861298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f t="shared" ref="N57" si="11">SUM(B57:M57)</f>
        <v>3829783</v>
      </c>
    </row>
    <row r="58" spans="1:14" collapsed="1" x14ac:dyDescent="0.2">
      <c r="A58" s="20" t="s">
        <v>0</v>
      </c>
      <c r="B58" s="21">
        <f t="shared" ref="B58:N58" si="12">B35+B52+B54+B56</f>
        <v>1269299</v>
      </c>
      <c r="C58" s="21">
        <f t="shared" si="12"/>
        <v>1240873</v>
      </c>
      <c r="D58" s="21">
        <f t="shared" si="12"/>
        <v>1558707</v>
      </c>
      <c r="E58" s="21">
        <f t="shared" si="12"/>
        <v>1359461</v>
      </c>
      <c r="F58" s="21">
        <f t="shared" si="12"/>
        <v>1479377</v>
      </c>
      <c r="G58" s="21">
        <f t="shared" si="12"/>
        <v>2189631</v>
      </c>
      <c r="H58" s="21">
        <f t="shared" si="12"/>
        <v>1150432</v>
      </c>
      <c r="I58" s="21">
        <f t="shared" si="12"/>
        <v>1078894</v>
      </c>
      <c r="J58" s="21">
        <f t="shared" si="12"/>
        <v>1568102</v>
      </c>
      <c r="K58" s="21">
        <f t="shared" si="12"/>
        <v>1577966</v>
      </c>
      <c r="L58" s="21">
        <f t="shared" si="12"/>
        <v>1398516</v>
      </c>
      <c r="M58" s="21">
        <f t="shared" si="12"/>
        <v>1249087</v>
      </c>
      <c r="N58" s="21">
        <f t="shared" si="12"/>
        <v>17120345</v>
      </c>
    </row>
    <row r="60" spans="1:14" x14ac:dyDescent="0.2"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</row>
  </sheetData>
  <sortState ref="A17:N19">
    <sortCondition ref="A17"/>
  </sortState>
  <pageMargins left="0.75" right="0.75" top="1" bottom="1" header="0" footer="0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0"/>
  <sheetViews>
    <sheetView zoomScale="80" zoomScaleNormal="80" workbookViewId="0">
      <pane ySplit="6" topLeftCell="A7" activePane="bottomLeft" state="frozen"/>
      <selection pane="bottomLeft" activeCell="A7" sqref="A7"/>
    </sheetView>
  </sheetViews>
  <sheetFormatPr baseColWidth="10" defaultRowHeight="12.75" x14ac:dyDescent="0.2"/>
  <cols>
    <col min="1" max="1" width="47.140625" customWidth="1"/>
    <col min="2" max="2" width="27.42578125" customWidth="1"/>
    <col min="3" max="3" width="24.28515625" bestFit="1" customWidth="1"/>
    <col min="4" max="4" width="20.85546875" style="32" customWidth="1"/>
    <col min="5" max="5" width="16.7109375" style="32" customWidth="1"/>
    <col min="6" max="6" width="19.28515625" style="32" customWidth="1"/>
    <col min="7" max="7" width="27.42578125" style="32" customWidth="1"/>
    <col min="8" max="8" width="15.85546875" customWidth="1"/>
  </cols>
  <sheetData>
    <row r="1" spans="1:8" ht="15.75" x14ac:dyDescent="0.25">
      <c r="B1" s="25" t="s">
        <v>116</v>
      </c>
      <c r="C1" s="25"/>
      <c r="D1" s="40"/>
      <c r="E1" s="40"/>
      <c r="F1" s="40"/>
      <c r="G1" s="40"/>
      <c r="H1" s="30">
        <v>2015</v>
      </c>
    </row>
    <row r="2" spans="1:8" x14ac:dyDescent="0.2">
      <c r="B2" s="26" t="s">
        <v>144</v>
      </c>
      <c r="C2" s="26"/>
      <c r="D2" s="41"/>
      <c r="E2" s="41"/>
      <c r="F2" s="41"/>
      <c r="G2" s="41"/>
      <c r="H2" s="26"/>
    </row>
    <row r="3" spans="1:8" ht="15" x14ac:dyDescent="0.25">
      <c r="B3" s="27" t="s">
        <v>139</v>
      </c>
      <c r="C3" s="27"/>
      <c r="D3" s="42"/>
      <c r="E3" s="42"/>
      <c r="F3" s="42"/>
      <c r="G3" s="42"/>
      <c r="H3" s="27"/>
    </row>
    <row r="4" spans="1:8" x14ac:dyDescent="0.2">
      <c r="B4" s="28" t="s">
        <v>158</v>
      </c>
      <c r="C4" s="28"/>
      <c r="D4" s="43"/>
      <c r="E4" s="43"/>
      <c r="F4" s="43"/>
      <c r="G4" s="43"/>
      <c r="H4" s="28"/>
    </row>
    <row r="6" spans="1:8" s="35" customFormat="1" ht="27" customHeight="1" x14ac:dyDescent="0.2">
      <c r="A6" s="24" t="s">
        <v>82</v>
      </c>
      <c r="B6" s="24" t="s">
        <v>140</v>
      </c>
      <c r="C6" s="24" t="s">
        <v>141</v>
      </c>
      <c r="D6" s="44" t="s">
        <v>142</v>
      </c>
      <c r="E6" s="44" t="s">
        <v>143</v>
      </c>
      <c r="F6" s="44" t="s">
        <v>145</v>
      </c>
      <c r="G6" s="44" t="s">
        <v>167</v>
      </c>
      <c r="H6" s="24" t="s">
        <v>168</v>
      </c>
    </row>
    <row r="7" spans="1:8" x14ac:dyDescent="0.2">
      <c r="A7" t="s">
        <v>42</v>
      </c>
      <c r="B7" t="s">
        <v>149</v>
      </c>
      <c r="C7" t="s">
        <v>161</v>
      </c>
      <c r="D7" s="32">
        <v>25.999999999999996</v>
      </c>
      <c r="E7" s="32">
        <v>0</v>
      </c>
      <c r="F7" s="32">
        <v>0</v>
      </c>
      <c r="G7" s="32">
        <v>0</v>
      </c>
      <c r="H7" s="15" t="s">
        <v>157</v>
      </c>
    </row>
    <row r="8" spans="1:8" x14ac:dyDescent="0.2">
      <c r="A8" t="s">
        <v>4</v>
      </c>
      <c r="B8" t="s">
        <v>149</v>
      </c>
      <c r="C8" t="s">
        <v>161</v>
      </c>
      <c r="D8" s="32">
        <v>16.916666666666664</v>
      </c>
      <c r="E8" s="32">
        <v>0</v>
      </c>
      <c r="F8" s="32">
        <v>3839</v>
      </c>
      <c r="G8" s="32">
        <v>0</v>
      </c>
      <c r="H8" s="15" t="s">
        <v>157</v>
      </c>
    </row>
    <row r="9" spans="1:8" x14ac:dyDescent="0.2">
      <c r="A9" t="s">
        <v>2</v>
      </c>
      <c r="B9" t="s">
        <v>149</v>
      </c>
      <c r="C9" t="s">
        <v>161</v>
      </c>
      <c r="D9" s="32">
        <v>10.816666666666665</v>
      </c>
      <c r="E9" s="32">
        <v>0</v>
      </c>
      <c r="F9" s="32">
        <v>8128</v>
      </c>
      <c r="G9" s="32">
        <v>0</v>
      </c>
      <c r="H9" s="15" t="s">
        <v>157</v>
      </c>
    </row>
    <row r="10" spans="1:8" x14ac:dyDescent="0.2">
      <c r="A10" t="s">
        <v>1</v>
      </c>
      <c r="B10" t="s">
        <v>149</v>
      </c>
      <c r="C10" t="s">
        <v>161</v>
      </c>
      <c r="D10" s="32">
        <v>3.2666666666666666</v>
      </c>
      <c r="E10" s="32">
        <v>0</v>
      </c>
      <c r="F10" s="32">
        <v>2318</v>
      </c>
      <c r="G10" s="32">
        <v>0</v>
      </c>
      <c r="H10" s="15" t="s">
        <v>157</v>
      </c>
    </row>
    <row r="11" spans="1:8" x14ac:dyDescent="0.2">
      <c r="A11" t="s">
        <v>27</v>
      </c>
      <c r="B11" t="s">
        <v>149</v>
      </c>
      <c r="C11" t="s">
        <v>161</v>
      </c>
      <c r="D11" s="32">
        <v>435.75000000000006</v>
      </c>
      <c r="E11" s="32">
        <v>0</v>
      </c>
      <c r="F11" s="32">
        <v>0</v>
      </c>
      <c r="G11" s="32">
        <v>0</v>
      </c>
      <c r="H11" s="15" t="s">
        <v>157</v>
      </c>
    </row>
    <row r="12" spans="1:8" x14ac:dyDescent="0.2">
      <c r="A12" t="s">
        <v>23</v>
      </c>
      <c r="B12" t="s">
        <v>149</v>
      </c>
      <c r="C12" t="s">
        <v>161</v>
      </c>
      <c r="D12" s="32">
        <v>126.83333333333333</v>
      </c>
      <c r="E12" s="32">
        <v>0</v>
      </c>
      <c r="F12" s="32">
        <v>0</v>
      </c>
      <c r="G12" s="32">
        <v>0</v>
      </c>
      <c r="H12" s="15" t="s">
        <v>157</v>
      </c>
    </row>
    <row r="13" spans="1:8" x14ac:dyDescent="0.2">
      <c r="A13" t="s">
        <v>3</v>
      </c>
      <c r="B13" t="s">
        <v>149</v>
      </c>
      <c r="C13" t="s">
        <v>161</v>
      </c>
      <c r="D13" s="32">
        <v>3.8666666666666667</v>
      </c>
      <c r="E13" s="32">
        <v>0</v>
      </c>
      <c r="F13" s="32">
        <v>5879.4</v>
      </c>
      <c r="G13" s="32">
        <v>0</v>
      </c>
      <c r="H13" s="15" t="s">
        <v>157</v>
      </c>
    </row>
    <row r="14" spans="1:8" x14ac:dyDescent="0.2">
      <c r="A14" t="s">
        <v>6</v>
      </c>
      <c r="B14" t="s">
        <v>149</v>
      </c>
      <c r="C14" t="s">
        <v>161</v>
      </c>
      <c r="D14" s="32">
        <v>25.5</v>
      </c>
      <c r="E14" s="32">
        <v>0</v>
      </c>
      <c r="F14" s="32">
        <v>0</v>
      </c>
      <c r="G14" s="32">
        <v>0</v>
      </c>
      <c r="H14" s="15" t="s">
        <v>157</v>
      </c>
    </row>
    <row r="15" spans="1:8" x14ac:dyDescent="0.2">
      <c r="A15" t="s">
        <v>2</v>
      </c>
      <c r="B15" t="s">
        <v>149</v>
      </c>
      <c r="C15" t="s">
        <v>162</v>
      </c>
      <c r="D15" s="32">
        <v>668.01666666666654</v>
      </c>
      <c r="E15" s="32">
        <v>0</v>
      </c>
      <c r="F15" s="32">
        <v>300795</v>
      </c>
      <c r="G15" s="32">
        <v>0</v>
      </c>
      <c r="H15" s="15" t="s">
        <v>157</v>
      </c>
    </row>
    <row r="16" spans="1:8" x14ac:dyDescent="0.2">
      <c r="A16" t="s">
        <v>1</v>
      </c>
      <c r="B16" t="s">
        <v>149</v>
      </c>
      <c r="C16" t="s">
        <v>162</v>
      </c>
      <c r="D16" s="32">
        <v>3.7666666666666666</v>
      </c>
      <c r="E16" s="32">
        <v>0</v>
      </c>
      <c r="F16" s="32">
        <v>1245.1111000000001</v>
      </c>
      <c r="G16" s="32">
        <v>0</v>
      </c>
      <c r="H16" s="15" t="s">
        <v>157</v>
      </c>
    </row>
    <row r="17" spans="1:8" x14ac:dyDescent="0.2">
      <c r="A17" t="s">
        <v>27</v>
      </c>
      <c r="B17" t="s">
        <v>149</v>
      </c>
      <c r="C17" t="s">
        <v>162</v>
      </c>
      <c r="D17" s="32">
        <v>173.23333333333332</v>
      </c>
      <c r="E17" s="32">
        <v>0</v>
      </c>
      <c r="F17" s="32">
        <v>0</v>
      </c>
      <c r="G17" s="32">
        <v>0</v>
      </c>
      <c r="H17" s="15" t="s">
        <v>157</v>
      </c>
    </row>
    <row r="18" spans="1:8" x14ac:dyDescent="0.2">
      <c r="A18" t="s">
        <v>57</v>
      </c>
      <c r="B18" t="s">
        <v>149</v>
      </c>
      <c r="C18" t="s">
        <v>162</v>
      </c>
      <c r="D18" s="32">
        <v>10</v>
      </c>
      <c r="E18" s="32">
        <v>0</v>
      </c>
      <c r="F18" s="32">
        <v>0</v>
      </c>
      <c r="G18" s="32">
        <v>0</v>
      </c>
      <c r="H18" s="15" t="s">
        <v>157</v>
      </c>
    </row>
    <row r="19" spans="1:8" x14ac:dyDescent="0.2">
      <c r="A19" t="s">
        <v>3</v>
      </c>
      <c r="B19" t="s">
        <v>149</v>
      </c>
      <c r="C19" t="s">
        <v>162</v>
      </c>
      <c r="D19" s="32">
        <v>23.6</v>
      </c>
      <c r="E19" s="32">
        <v>0</v>
      </c>
      <c r="F19" s="32">
        <v>7027.4000000000005</v>
      </c>
      <c r="G19" s="32">
        <v>0</v>
      </c>
      <c r="H19" s="15" t="s">
        <v>157</v>
      </c>
    </row>
    <row r="20" spans="1:8" x14ac:dyDescent="0.2">
      <c r="A20" t="s">
        <v>6</v>
      </c>
      <c r="B20" t="s">
        <v>149</v>
      </c>
      <c r="C20" t="s">
        <v>162</v>
      </c>
      <c r="D20" s="32">
        <v>66</v>
      </c>
      <c r="E20" s="32">
        <v>0</v>
      </c>
      <c r="F20" s="32">
        <v>0</v>
      </c>
      <c r="G20" s="32">
        <v>0</v>
      </c>
      <c r="H20" s="15" t="s">
        <v>157</v>
      </c>
    </row>
    <row r="21" spans="1:8" x14ac:dyDescent="0.2">
      <c r="A21" t="s">
        <v>10</v>
      </c>
      <c r="B21" t="s">
        <v>150</v>
      </c>
      <c r="C21" t="s">
        <v>162</v>
      </c>
      <c r="D21" s="32">
        <v>71.666666666666671</v>
      </c>
      <c r="E21" s="32">
        <v>0</v>
      </c>
      <c r="F21" s="32">
        <v>416722</v>
      </c>
      <c r="G21" s="32">
        <v>0</v>
      </c>
      <c r="H21" s="15" t="s">
        <v>157</v>
      </c>
    </row>
    <row r="22" spans="1:8" x14ac:dyDescent="0.2">
      <c r="A22" t="s">
        <v>105</v>
      </c>
      <c r="B22" t="s">
        <v>150</v>
      </c>
      <c r="C22" t="s">
        <v>162</v>
      </c>
      <c r="D22" s="32">
        <v>7.65</v>
      </c>
      <c r="E22" s="32">
        <v>0</v>
      </c>
      <c r="F22" s="32">
        <v>0</v>
      </c>
      <c r="G22" s="32">
        <v>0</v>
      </c>
      <c r="H22" s="15" t="s">
        <v>157</v>
      </c>
    </row>
    <row r="23" spans="1:8" x14ac:dyDescent="0.2">
      <c r="A23" t="s">
        <v>17</v>
      </c>
      <c r="B23" t="s">
        <v>150</v>
      </c>
      <c r="C23" t="s">
        <v>162</v>
      </c>
      <c r="D23" s="32">
        <v>4.5</v>
      </c>
      <c r="E23" s="32">
        <v>0</v>
      </c>
      <c r="F23" s="32">
        <v>0</v>
      </c>
      <c r="G23" s="32">
        <v>0</v>
      </c>
      <c r="H23" s="15" t="s">
        <v>157</v>
      </c>
    </row>
    <row r="24" spans="1:8" x14ac:dyDescent="0.2">
      <c r="A24" t="s">
        <v>75</v>
      </c>
      <c r="B24" t="s">
        <v>150</v>
      </c>
      <c r="C24" t="s">
        <v>162</v>
      </c>
      <c r="D24" s="32">
        <v>4.166666666666667</v>
      </c>
      <c r="E24" s="32">
        <v>0</v>
      </c>
      <c r="F24" s="32">
        <v>0</v>
      </c>
      <c r="G24" s="32">
        <v>0</v>
      </c>
      <c r="H24" s="15" t="s">
        <v>157</v>
      </c>
    </row>
    <row r="25" spans="1:8" x14ac:dyDescent="0.2">
      <c r="A25" t="s">
        <v>52</v>
      </c>
      <c r="B25" t="s">
        <v>150</v>
      </c>
      <c r="C25" t="s">
        <v>162</v>
      </c>
      <c r="D25" s="32">
        <v>5.4166666666666661</v>
      </c>
      <c r="E25" s="32">
        <v>0</v>
      </c>
      <c r="F25" s="32">
        <v>22385</v>
      </c>
      <c r="G25" s="32">
        <v>0</v>
      </c>
      <c r="H25" s="15" t="s">
        <v>157</v>
      </c>
    </row>
    <row r="26" spans="1:8" x14ac:dyDescent="0.2">
      <c r="A26" t="s">
        <v>93</v>
      </c>
      <c r="B26" t="s">
        <v>150</v>
      </c>
      <c r="C26" t="s">
        <v>162</v>
      </c>
      <c r="D26" s="32">
        <v>3</v>
      </c>
      <c r="E26" s="32">
        <v>0</v>
      </c>
      <c r="F26" s="32">
        <v>264</v>
      </c>
      <c r="G26" s="32">
        <v>0</v>
      </c>
      <c r="H26" s="15" t="s">
        <v>157</v>
      </c>
    </row>
    <row r="27" spans="1:8" x14ac:dyDescent="0.2">
      <c r="A27" t="s">
        <v>159</v>
      </c>
      <c r="B27" t="s">
        <v>150</v>
      </c>
      <c r="C27" t="s">
        <v>162</v>
      </c>
      <c r="D27" s="32">
        <v>15.166666666666666</v>
      </c>
      <c r="E27" s="32">
        <v>0</v>
      </c>
      <c r="F27" s="32">
        <v>0</v>
      </c>
      <c r="G27" s="32">
        <v>0</v>
      </c>
      <c r="H27" s="15" t="s">
        <v>157</v>
      </c>
    </row>
    <row r="28" spans="1:8" x14ac:dyDescent="0.2">
      <c r="A28" t="s">
        <v>24</v>
      </c>
      <c r="B28" t="s">
        <v>150</v>
      </c>
      <c r="C28" t="s">
        <v>162</v>
      </c>
      <c r="D28" s="32">
        <v>179.11666666666667</v>
      </c>
      <c r="E28" s="32">
        <v>0</v>
      </c>
      <c r="F28" s="32">
        <v>0</v>
      </c>
      <c r="G28" s="32">
        <v>0</v>
      </c>
      <c r="H28" s="15" t="s">
        <v>157</v>
      </c>
    </row>
    <row r="29" spans="1:8" x14ac:dyDescent="0.2">
      <c r="A29" t="s">
        <v>47</v>
      </c>
      <c r="B29" t="s">
        <v>150</v>
      </c>
      <c r="C29" t="s">
        <v>162</v>
      </c>
      <c r="D29" s="32">
        <v>43.15</v>
      </c>
      <c r="E29" s="32">
        <v>0</v>
      </c>
      <c r="F29" s="32">
        <v>0</v>
      </c>
      <c r="G29" s="32">
        <v>0</v>
      </c>
      <c r="H29" s="15" t="s">
        <v>157</v>
      </c>
    </row>
    <row r="30" spans="1:8" x14ac:dyDescent="0.2">
      <c r="A30" t="s">
        <v>104</v>
      </c>
      <c r="B30" t="s">
        <v>150</v>
      </c>
      <c r="C30" t="s">
        <v>162</v>
      </c>
      <c r="D30" s="32">
        <v>6.5</v>
      </c>
      <c r="E30" s="32">
        <v>0</v>
      </c>
      <c r="F30" s="32">
        <v>0</v>
      </c>
      <c r="G30" s="32">
        <v>0</v>
      </c>
      <c r="H30" s="15" t="s">
        <v>157</v>
      </c>
    </row>
    <row r="31" spans="1:8" x14ac:dyDescent="0.2">
      <c r="A31" t="s">
        <v>92</v>
      </c>
      <c r="B31" t="s">
        <v>150</v>
      </c>
      <c r="C31" t="s">
        <v>162</v>
      </c>
      <c r="D31" s="32">
        <v>5.0500000000000007</v>
      </c>
      <c r="E31" s="32">
        <v>0</v>
      </c>
      <c r="F31" s="32">
        <v>0</v>
      </c>
      <c r="G31" s="32">
        <v>0</v>
      </c>
      <c r="H31" s="15" t="s">
        <v>157</v>
      </c>
    </row>
    <row r="32" spans="1:8" x14ac:dyDescent="0.2">
      <c r="A32" t="s">
        <v>46</v>
      </c>
      <c r="B32" t="s">
        <v>150</v>
      </c>
      <c r="C32" t="s">
        <v>162</v>
      </c>
      <c r="D32" s="32">
        <v>40.150000000000006</v>
      </c>
      <c r="E32" s="32">
        <v>0</v>
      </c>
      <c r="F32" s="32">
        <v>29960</v>
      </c>
      <c r="G32" s="32">
        <v>0</v>
      </c>
      <c r="H32" s="15" t="s">
        <v>157</v>
      </c>
    </row>
    <row r="33" spans="1:8" x14ac:dyDescent="0.2">
      <c r="A33" t="s">
        <v>38</v>
      </c>
      <c r="B33" t="s">
        <v>150</v>
      </c>
      <c r="C33" t="s">
        <v>162</v>
      </c>
      <c r="D33" s="32">
        <v>84.416666666666671</v>
      </c>
      <c r="E33" s="32">
        <v>0</v>
      </c>
      <c r="F33" s="32">
        <v>80528</v>
      </c>
      <c r="G33" s="32">
        <v>0</v>
      </c>
      <c r="H33" s="15" t="s">
        <v>157</v>
      </c>
    </row>
    <row r="34" spans="1:8" x14ac:dyDescent="0.2">
      <c r="A34" t="s">
        <v>113</v>
      </c>
      <c r="B34" t="s">
        <v>150</v>
      </c>
      <c r="C34" t="s">
        <v>162</v>
      </c>
      <c r="D34" s="32">
        <v>11.866666666666667</v>
      </c>
      <c r="E34" s="32">
        <v>0</v>
      </c>
      <c r="F34" s="32">
        <v>0</v>
      </c>
      <c r="G34" s="32">
        <v>0</v>
      </c>
      <c r="H34" s="15" t="s">
        <v>157</v>
      </c>
    </row>
    <row r="35" spans="1:8" x14ac:dyDescent="0.2">
      <c r="A35" t="s">
        <v>80</v>
      </c>
      <c r="B35" t="s">
        <v>150</v>
      </c>
      <c r="C35" t="s">
        <v>162</v>
      </c>
      <c r="D35" s="32">
        <v>58.083333333333343</v>
      </c>
      <c r="E35" s="32">
        <v>0</v>
      </c>
      <c r="F35" s="32">
        <v>18975</v>
      </c>
      <c r="G35" s="32">
        <v>0</v>
      </c>
      <c r="H35" s="15" t="s">
        <v>157</v>
      </c>
    </row>
    <row r="36" spans="1:8" x14ac:dyDescent="0.2">
      <c r="A36" t="s">
        <v>25</v>
      </c>
      <c r="B36" t="s">
        <v>150</v>
      </c>
      <c r="C36" t="s">
        <v>162</v>
      </c>
      <c r="D36" s="32">
        <v>39.099999999999994</v>
      </c>
      <c r="E36" s="32">
        <v>0</v>
      </c>
      <c r="F36" s="32">
        <v>0</v>
      </c>
      <c r="G36" s="32">
        <v>0</v>
      </c>
      <c r="H36" s="15" t="s">
        <v>157</v>
      </c>
    </row>
    <row r="37" spans="1:8" x14ac:dyDescent="0.2">
      <c r="A37" t="s">
        <v>107</v>
      </c>
      <c r="B37" t="s">
        <v>150</v>
      </c>
      <c r="C37" t="s">
        <v>162</v>
      </c>
      <c r="D37" s="32">
        <v>35.416666666666664</v>
      </c>
      <c r="E37" s="32">
        <v>0</v>
      </c>
      <c r="F37" s="32">
        <v>7775</v>
      </c>
      <c r="G37" s="32">
        <v>0</v>
      </c>
      <c r="H37" s="15" t="s">
        <v>157</v>
      </c>
    </row>
    <row r="38" spans="1:8" x14ac:dyDescent="0.2">
      <c r="A38" t="s">
        <v>68</v>
      </c>
      <c r="B38" t="s">
        <v>151</v>
      </c>
      <c r="C38" t="s">
        <v>162</v>
      </c>
      <c r="D38" s="32">
        <v>1043.5999999999992</v>
      </c>
      <c r="E38" s="32">
        <v>0</v>
      </c>
      <c r="F38" s="32">
        <v>678744</v>
      </c>
      <c r="G38" s="32">
        <v>0</v>
      </c>
      <c r="H38" s="15" t="s">
        <v>157</v>
      </c>
    </row>
    <row r="39" spans="1:8" x14ac:dyDescent="0.2">
      <c r="A39" t="s">
        <v>45</v>
      </c>
      <c r="B39" t="s">
        <v>151</v>
      </c>
      <c r="C39" t="s">
        <v>162</v>
      </c>
      <c r="D39" s="32">
        <v>64.216666666666669</v>
      </c>
      <c r="E39" s="32">
        <v>0</v>
      </c>
      <c r="F39" s="32">
        <v>26760</v>
      </c>
      <c r="G39" s="32">
        <v>0</v>
      </c>
      <c r="H39" s="15" t="s">
        <v>157</v>
      </c>
    </row>
    <row r="40" spans="1:8" x14ac:dyDescent="0.2">
      <c r="A40" t="s">
        <v>77</v>
      </c>
      <c r="B40" t="s">
        <v>151</v>
      </c>
      <c r="C40" t="s">
        <v>162</v>
      </c>
      <c r="D40" s="32">
        <v>14.066666666666666</v>
      </c>
      <c r="E40" s="32">
        <v>0</v>
      </c>
      <c r="F40" s="32">
        <v>0</v>
      </c>
      <c r="G40" s="32">
        <v>0</v>
      </c>
      <c r="H40" s="15" t="s">
        <v>157</v>
      </c>
    </row>
    <row r="41" spans="1:8" x14ac:dyDescent="0.2">
      <c r="A41" t="s">
        <v>69</v>
      </c>
      <c r="B41" t="s">
        <v>151</v>
      </c>
      <c r="C41" t="s">
        <v>162</v>
      </c>
      <c r="D41" s="32">
        <v>449.60000000000008</v>
      </c>
      <c r="E41" s="32">
        <v>0</v>
      </c>
      <c r="F41" s="32">
        <v>354209</v>
      </c>
      <c r="G41" s="32">
        <v>0</v>
      </c>
      <c r="H41" s="15" t="s">
        <v>157</v>
      </c>
    </row>
    <row r="42" spans="1:8" x14ac:dyDescent="0.2">
      <c r="A42" t="s">
        <v>34</v>
      </c>
      <c r="B42" t="s">
        <v>152</v>
      </c>
      <c r="C42" t="s">
        <v>162</v>
      </c>
      <c r="D42" s="32">
        <v>51</v>
      </c>
      <c r="E42" s="32">
        <v>0</v>
      </c>
      <c r="F42" s="32">
        <v>26270</v>
      </c>
      <c r="G42" s="32">
        <v>0</v>
      </c>
      <c r="H42" s="15" t="s">
        <v>157</v>
      </c>
    </row>
    <row r="43" spans="1:8" x14ac:dyDescent="0.2">
      <c r="A43" t="s">
        <v>31</v>
      </c>
      <c r="B43" t="s">
        <v>152</v>
      </c>
      <c r="C43" t="s">
        <v>162</v>
      </c>
      <c r="D43" s="32">
        <v>10.3</v>
      </c>
      <c r="E43" s="32">
        <v>0</v>
      </c>
      <c r="F43" s="32">
        <v>7869</v>
      </c>
      <c r="G43" s="32">
        <v>0</v>
      </c>
      <c r="H43" s="15" t="s">
        <v>157</v>
      </c>
    </row>
    <row r="44" spans="1:8" x14ac:dyDescent="0.2">
      <c r="A44" t="s">
        <v>32</v>
      </c>
      <c r="B44" t="s">
        <v>152</v>
      </c>
      <c r="C44" t="s">
        <v>162</v>
      </c>
      <c r="D44" s="32">
        <v>27.083333333333329</v>
      </c>
      <c r="E44" s="32">
        <v>0</v>
      </c>
      <c r="F44" s="32">
        <v>14151</v>
      </c>
      <c r="G44" s="32">
        <v>0</v>
      </c>
      <c r="H44" s="15" t="s">
        <v>157</v>
      </c>
    </row>
    <row r="45" spans="1:8" x14ac:dyDescent="0.2">
      <c r="A45" t="s">
        <v>74</v>
      </c>
      <c r="B45" t="s">
        <v>152</v>
      </c>
      <c r="C45" t="s">
        <v>162</v>
      </c>
      <c r="D45" s="32">
        <v>22.5</v>
      </c>
      <c r="E45" s="32">
        <v>0</v>
      </c>
      <c r="F45" s="32">
        <v>14551</v>
      </c>
      <c r="G45" s="32">
        <v>0</v>
      </c>
      <c r="H45" s="15" t="s">
        <v>157</v>
      </c>
    </row>
    <row r="46" spans="1:8" x14ac:dyDescent="0.2">
      <c r="A46" t="s">
        <v>114</v>
      </c>
      <c r="B46" t="s">
        <v>153</v>
      </c>
      <c r="C46" t="s">
        <v>162</v>
      </c>
      <c r="D46" s="32">
        <v>88.8</v>
      </c>
      <c r="E46" s="32">
        <v>0</v>
      </c>
      <c r="F46" s="32">
        <v>1692</v>
      </c>
      <c r="G46" s="32">
        <v>0</v>
      </c>
      <c r="H46" s="15" t="s">
        <v>157</v>
      </c>
    </row>
    <row r="47" spans="1:8" x14ac:dyDescent="0.2">
      <c r="A47" t="s">
        <v>115</v>
      </c>
      <c r="B47" t="s">
        <v>153</v>
      </c>
      <c r="C47" t="s">
        <v>162</v>
      </c>
      <c r="D47" s="32">
        <v>28</v>
      </c>
      <c r="E47" s="32">
        <v>0</v>
      </c>
      <c r="F47" s="32">
        <v>15180</v>
      </c>
      <c r="G47" s="32">
        <v>0</v>
      </c>
      <c r="H47" s="15" t="s">
        <v>157</v>
      </c>
    </row>
    <row r="48" spans="1:8" x14ac:dyDescent="0.2">
      <c r="A48" t="s">
        <v>96</v>
      </c>
      <c r="B48" t="s">
        <v>153</v>
      </c>
      <c r="C48" t="s">
        <v>162</v>
      </c>
      <c r="D48" s="32">
        <v>177.35</v>
      </c>
      <c r="E48" s="32">
        <v>0</v>
      </c>
      <c r="F48" s="32">
        <v>3210</v>
      </c>
      <c r="G48" s="32">
        <v>0</v>
      </c>
      <c r="H48" s="15" t="s">
        <v>157</v>
      </c>
    </row>
    <row r="49" spans="1:8" x14ac:dyDescent="0.2">
      <c r="A49" t="s">
        <v>101</v>
      </c>
      <c r="B49" t="s">
        <v>153</v>
      </c>
      <c r="C49" t="s">
        <v>162</v>
      </c>
      <c r="D49" s="32">
        <v>45.566666666666663</v>
      </c>
      <c r="E49" s="32">
        <v>0</v>
      </c>
      <c r="F49" s="32">
        <v>20920</v>
      </c>
      <c r="G49" s="32">
        <v>0</v>
      </c>
      <c r="H49" s="15" t="s">
        <v>157</v>
      </c>
    </row>
    <row r="50" spans="1:8" x14ac:dyDescent="0.2">
      <c r="A50" t="s">
        <v>98</v>
      </c>
      <c r="B50" t="s">
        <v>153</v>
      </c>
      <c r="C50" t="s">
        <v>162</v>
      </c>
      <c r="D50" s="32">
        <v>168.7</v>
      </c>
      <c r="E50" s="32">
        <v>0</v>
      </c>
      <c r="F50" s="32">
        <v>62940</v>
      </c>
      <c r="G50" s="32">
        <v>0</v>
      </c>
      <c r="H50" s="15" t="s">
        <v>157</v>
      </c>
    </row>
    <row r="51" spans="1:8" x14ac:dyDescent="0.2">
      <c r="A51" t="s">
        <v>91</v>
      </c>
      <c r="B51" t="s">
        <v>153</v>
      </c>
      <c r="C51" t="s">
        <v>162</v>
      </c>
      <c r="D51" s="32">
        <v>23</v>
      </c>
      <c r="E51" s="32">
        <v>0</v>
      </c>
      <c r="F51" s="32">
        <v>384</v>
      </c>
      <c r="G51" s="32">
        <v>0</v>
      </c>
      <c r="H51" s="15" t="s">
        <v>157</v>
      </c>
    </row>
    <row r="52" spans="1:8" x14ac:dyDescent="0.2">
      <c r="A52" t="s">
        <v>49</v>
      </c>
      <c r="B52" t="s">
        <v>153</v>
      </c>
      <c r="C52" t="s">
        <v>162</v>
      </c>
      <c r="D52" s="32">
        <v>157.5</v>
      </c>
      <c r="E52" s="32">
        <v>0</v>
      </c>
      <c r="F52" s="32">
        <v>60365</v>
      </c>
      <c r="G52" s="32">
        <v>0</v>
      </c>
      <c r="H52" s="15" t="s">
        <v>157</v>
      </c>
    </row>
    <row r="53" spans="1:8" x14ac:dyDescent="0.2">
      <c r="A53" t="s">
        <v>43</v>
      </c>
      <c r="B53" t="s">
        <v>153</v>
      </c>
      <c r="C53" t="s">
        <v>162</v>
      </c>
      <c r="D53" s="32">
        <v>1270.3833333333334</v>
      </c>
      <c r="E53" s="32">
        <v>0</v>
      </c>
      <c r="F53" s="32">
        <v>658340</v>
      </c>
      <c r="G53" s="32">
        <v>0</v>
      </c>
      <c r="H53" s="15" t="s">
        <v>157</v>
      </c>
    </row>
    <row r="54" spans="1:8" x14ac:dyDescent="0.2">
      <c r="A54" t="s">
        <v>72</v>
      </c>
      <c r="B54" t="s">
        <v>153</v>
      </c>
      <c r="C54" t="s">
        <v>162</v>
      </c>
      <c r="D54" s="32">
        <v>32</v>
      </c>
      <c r="E54" s="32">
        <v>0</v>
      </c>
      <c r="F54" s="32">
        <v>1040</v>
      </c>
      <c r="G54" s="32">
        <v>0</v>
      </c>
      <c r="H54" s="15" t="s">
        <v>157</v>
      </c>
    </row>
    <row r="55" spans="1:8" x14ac:dyDescent="0.2">
      <c r="A55" t="s">
        <v>21</v>
      </c>
      <c r="B55" t="s">
        <v>153</v>
      </c>
      <c r="C55" t="s">
        <v>162</v>
      </c>
      <c r="D55" s="32">
        <v>120.5</v>
      </c>
      <c r="E55" s="32">
        <v>0</v>
      </c>
      <c r="F55" s="32">
        <v>55100</v>
      </c>
      <c r="G55" s="32">
        <v>0</v>
      </c>
      <c r="H55" s="15" t="s">
        <v>157</v>
      </c>
    </row>
    <row r="56" spans="1:8" x14ac:dyDescent="0.2">
      <c r="A56" t="s">
        <v>97</v>
      </c>
      <c r="B56" t="s">
        <v>153</v>
      </c>
      <c r="C56" t="s">
        <v>162</v>
      </c>
      <c r="D56" s="32">
        <v>88.866666666666674</v>
      </c>
      <c r="E56" s="32">
        <v>0</v>
      </c>
      <c r="F56" s="32">
        <v>43380</v>
      </c>
      <c r="G56" s="32">
        <v>0</v>
      </c>
      <c r="H56" s="15" t="s">
        <v>157</v>
      </c>
    </row>
    <row r="57" spans="1:8" x14ac:dyDescent="0.2">
      <c r="A57" t="s">
        <v>71</v>
      </c>
      <c r="B57" t="s">
        <v>153</v>
      </c>
      <c r="C57" t="s">
        <v>162</v>
      </c>
      <c r="D57" s="32">
        <v>298.18333333333339</v>
      </c>
      <c r="E57" s="32">
        <v>0</v>
      </c>
      <c r="F57" s="32">
        <v>149940</v>
      </c>
      <c r="G57" s="32">
        <v>0</v>
      </c>
      <c r="H57" s="15" t="s">
        <v>157</v>
      </c>
    </row>
    <row r="58" spans="1:8" x14ac:dyDescent="0.2">
      <c r="A58" t="s">
        <v>160</v>
      </c>
      <c r="B58" t="s">
        <v>154</v>
      </c>
      <c r="C58" t="s">
        <v>162</v>
      </c>
      <c r="D58" s="32">
        <v>480</v>
      </c>
      <c r="E58" s="32">
        <v>0</v>
      </c>
      <c r="F58" s="32">
        <v>0</v>
      </c>
      <c r="G58" s="32">
        <v>0</v>
      </c>
      <c r="H58" s="15" t="s">
        <v>157</v>
      </c>
    </row>
    <row r="59" spans="1:8" x14ac:dyDescent="0.2">
      <c r="A59" t="s">
        <v>42</v>
      </c>
      <c r="B59" t="s">
        <v>149</v>
      </c>
      <c r="C59" t="s">
        <v>161</v>
      </c>
      <c r="D59" s="32">
        <v>12.666666666666668</v>
      </c>
      <c r="E59" s="32">
        <v>0</v>
      </c>
      <c r="F59" s="32">
        <v>0</v>
      </c>
      <c r="G59" s="32">
        <v>0</v>
      </c>
      <c r="H59" s="15" t="s">
        <v>166</v>
      </c>
    </row>
    <row r="60" spans="1:8" x14ac:dyDescent="0.2">
      <c r="A60" t="s">
        <v>4</v>
      </c>
      <c r="B60" t="s">
        <v>149</v>
      </c>
      <c r="C60" t="s">
        <v>161</v>
      </c>
      <c r="D60" s="32">
        <v>27.333333333333332</v>
      </c>
      <c r="E60" s="32">
        <v>0</v>
      </c>
      <c r="F60" s="32">
        <v>6797</v>
      </c>
      <c r="G60" s="32">
        <v>0</v>
      </c>
      <c r="H60" s="15" t="s">
        <v>166</v>
      </c>
    </row>
    <row r="61" spans="1:8" x14ac:dyDescent="0.2">
      <c r="A61" t="s">
        <v>2</v>
      </c>
      <c r="B61" t="s">
        <v>149</v>
      </c>
      <c r="C61" t="s">
        <v>161</v>
      </c>
      <c r="D61" s="32">
        <v>6.0833333333333339</v>
      </c>
      <c r="E61" s="32">
        <v>0</v>
      </c>
      <c r="F61" s="32">
        <v>3139</v>
      </c>
      <c r="G61" s="32">
        <v>0</v>
      </c>
      <c r="H61" s="15" t="s">
        <v>166</v>
      </c>
    </row>
    <row r="62" spans="1:8" x14ac:dyDescent="0.2">
      <c r="A62" t="s">
        <v>1</v>
      </c>
      <c r="B62" t="s">
        <v>149</v>
      </c>
      <c r="C62" t="s">
        <v>161</v>
      </c>
      <c r="D62" s="32">
        <v>11.133333333333335</v>
      </c>
      <c r="E62" s="32">
        <v>0</v>
      </c>
      <c r="F62" s="32">
        <v>2169</v>
      </c>
      <c r="G62" s="32">
        <v>0</v>
      </c>
      <c r="H62" s="15" t="s">
        <v>166</v>
      </c>
    </row>
    <row r="63" spans="1:8" x14ac:dyDescent="0.2">
      <c r="A63" t="s">
        <v>27</v>
      </c>
      <c r="B63" t="s">
        <v>149</v>
      </c>
      <c r="C63" t="s">
        <v>161</v>
      </c>
      <c r="D63" s="32">
        <v>449.86666666666679</v>
      </c>
      <c r="E63" s="32">
        <v>0</v>
      </c>
      <c r="F63" s="32">
        <v>0</v>
      </c>
      <c r="G63" s="32">
        <v>0</v>
      </c>
      <c r="H63" s="15" t="s">
        <v>166</v>
      </c>
    </row>
    <row r="64" spans="1:8" x14ac:dyDescent="0.2">
      <c r="A64" t="s">
        <v>23</v>
      </c>
      <c r="B64" t="s">
        <v>149</v>
      </c>
      <c r="C64" t="s">
        <v>161</v>
      </c>
      <c r="D64" s="32">
        <v>75.466666666666669</v>
      </c>
      <c r="E64" s="32">
        <v>0</v>
      </c>
      <c r="F64" s="32">
        <v>0</v>
      </c>
      <c r="G64" s="32">
        <v>0</v>
      </c>
      <c r="H64" s="15" t="s">
        <v>166</v>
      </c>
    </row>
    <row r="65" spans="1:8" x14ac:dyDescent="0.2">
      <c r="A65" t="s">
        <v>3</v>
      </c>
      <c r="B65" t="s">
        <v>149</v>
      </c>
      <c r="C65" t="s">
        <v>161</v>
      </c>
      <c r="D65" s="32">
        <v>1.5</v>
      </c>
      <c r="E65" s="32">
        <v>0</v>
      </c>
      <c r="F65" s="32">
        <v>2238.6</v>
      </c>
      <c r="G65" s="32">
        <v>0</v>
      </c>
      <c r="H65" s="15" t="s">
        <v>166</v>
      </c>
    </row>
    <row r="66" spans="1:8" x14ac:dyDescent="0.2">
      <c r="A66" t="s">
        <v>6</v>
      </c>
      <c r="B66" t="s">
        <v>149</v>
      </c>
      <c r="C66" t="s">
        <v>161</v>
      </c>
      <c r="D66" s="32">
        <v>48</v>
      </c>
      <c r="E66" s="32">
        <v>0</v>
      </c>
      <c r="F66" s="32">
        <v>0</v>
      </c>
      <c r="G66" s="32">
        <v>0</v>
      </c>
      <c r="H66" s="15" t="s">
        <v>166</v>
      </c>
    </row>
    <row r="67" spans="1:8" x14ac:dyDescent="0.2">
      <c r="A67" t="s">
        <v>2</v>
      </c>
      <c r="B67" t="s">
        <v>149</v>
      </c>
      <c r="C67" t="s">
        <v>162</v>
      </c>
      <c r="D67" s="32">
        <v>648.09999999999991</v>
      </c>
      <c r="E67" s="32">
        <v>0</v>
      </c>
      <c r="F67" s="32">
        <v>320632</v>
      </c>
      <c r="G67" s="32">
        <v>0</v>
      </c>
      <c r="H67" s="15" t="s">
        <v>166</v>
      </c>
    </row>
    <row r="68" spans="1:8" x14ac:dyDescent="0.2">
      <c r="A68" t="s">
        <v>1</v>
      </c>
      <c r="B68" t="s">
        <v>149</v>
      </c>
      <c r="C68" t="s">
        <v>162</v>
      </c>
      <c r="D68" s="32">
        <v>3.0833333333333335</v>
      </c>
      <c r="E68" s="32">
        <v>0</v>
      </c>
      <c r="F68" s="32">
        <v>688</v>
      </c>
      <c r="G68" s="32">
        <v>0</v>
      </c>
      <c r="H68" s="15" t="s">
        <v>166</v>
      </c>
    </row>
    <row r="69" spans="1:8" x14ac:dyDescent="0.2">
      <c r="A69" t="s">
        <v>27</v>
      </c>
      <c r="B69" t="s">
        <v>149</v>
      </c>
      <c r="C69" t="s">
        <v>162</v>
      </c>
      <c r="D69" s="32">
        <v>88.700000000000017</v>
      </c>
      <c r="E69" s="32">
        <v>0</v>
      </c>
      <c r="F69" s="32">
        <v>0</v>
      </c>
      <c r="G69" s="32">
        <v>0</v>
      </c>
      <c r="H69" s="15" t="s">
        <v>166</v>
      </c>
    </row>
    <row r="70" spans="1:8" x14ac:dyDescent="0.2">
      <c r="A70" t="s">
        <v>57</v>
      </c>
      <c r="B70" t="s">
        <v>149</v>
      </c>
      <c r="C70" t="s">
        <v>162</v>
      </c>
      <c r="D70" s="32">
        <v>16.833333333333332</v>
      </c>
      <c r="E70" s="32">
        <v>0</v>
      </c>
      <c r="F70" s="32">
        <v>0</v>
      </c>
      <c r="G70" s="32">
        <v>0</v>
      </c>
      <c r="H70" s="15" t="s">
        <v>166</v>
      </c>
    </row>
    <row r="71" spans="1:8" x14ac:dyDescent="0.2">
      <c r="A71" t="s">
        <v>3</v>
      </c>
      <c r="B71" t="s">
        <v>149</v>
      </c>
      <c r="C71" t="s">
        <v>162</v>
      </c>
      <c r="D71" s="32">
        <v>80.283333333333331</v>
      </c>
      <c r="E71" s="32">
        <v>0</v>
      </c>
      <c r="F71" s="32">
        <v>19376.600000000002</v>
      </c>
      <c r="G71" s="32">
        <v>0</v>
      </c>
      <c r="H71" s="15" t="s">
        <v>166</v>
      </c>
    </row>
    <row r="72" spans="1:8" x14ac:dyDescent="0.2">
      <c r="A72" t="s">
        <v>6</v>
      </c>
      <c r="B72" t="s">
        <v>149</v>
      </c>
      <c r="C72" t="s">
        <v>162</v>
      </c>
      <c r="D72" s="32">
        <v>48</v>
      </c>
      <c r="E72" s="32">
        <v>0</v>
      </c>
      <c r="F72" s="32">
        <v>0</v>
      </c>
      <c r="G72" s="32">
        <v>0</v>
      </c>
      <c r="H72" s="15" t="s">
        <v>166</v>
      </c>
    </row>
    <row r="73" spans="1:8" x14ac:dyDescent="0.2">
      <c r="A73" t="s">
        <v>10</v>
      </c>
      <c r="B73" t="s">
        <v>150</v>
      </c>
      <c r="C73" t="s">
        <v>162</v>
      </c>
      <c r="D73" s="32">
        <v>43</v>
      </c>
      <c r="E73" s="32">
        <v>0</v>
      </c>
      <c r="F73" s="32">
        <v>352694</v>
      </c>
      <c r="G73" s="32">
        <v>0</v>
      </c>
      <c r="H73" s="15" t="s">
        <v>166</v>
      </c>
    </row>
    <row r="74" spans="1:8" x14ac:dyDescent="0.2">
      <c r="A74" t="s">
        <v>75</v>
      </c>
      <c r="B74" t="s">
        <v>150</v>
      </c>
      <c r="C74" t="s">
        <v>162</v>
      </c>
      <c r="D74" s="32">
        <v>7.833333333333333</v>
      </c>
      <c r="E74" s="32">
        <v>0</v>
      </c>
      <c r="F74" s="32">
        <v>0</v>
      </c>
      <c r="G74" s="32">
        <v>0</v>
      </c>
      <c r="H74" s="15" t="s">
        <v>166</v>
      </c>
    </row>
    <row r="75" spans="1:8" x14ac:dyDescent="0.2">
      <c r="A75" t="s">
        <v>163</v>
      </c>
      <c r="B75" t="s">
        <v>150</v>
      </c>
      <c r="C75" t="s">
        <v>162</v>
      </c>
      <c r="D75" s="32">
        <v>5.9333333333333336</v>
      </c>
      <c r="E75" s="32">
        <v>0</v>
      </c>
      <c r="F75" s="32">
        <v>0</v>
      </c>
      <c r="G75" s="32">
        <v>0</v>
      </c>
      <c r="H75" s="15" t="s">
        <v>166</v>
      </c>
    </row>
    <row r="76" spans="1:8" x14ac:dyDescent="0.2">
      <c r="A76" t="s">
        <v>159</v>
      </c>
      <c r="B76" t="s">
        <v>150</v>
      </c>
      <c r="C76" t="s">
        <v>162</v>
      </c>
      <c r="D76" s="32">
        <v>16.700000000000003</v>
      </c>
      <c r="E76" s="32">
        <v>0</v>
      </c>
      <c r="F76" s="32">
        <v>0</v>
      </c>
      <c r="G76" s="32">
        <v>0</v>
      </c>
      <c r="H76" s="15" t="s">
        <v>166</v>
      </c>
    </row>
    <row r="77" spans="1:8" x14ac:dyDescent="0.2">
      <c r="A77" t="s">
        <v>14</v>
      </c>
      <c r="B77" t="s">
        <v>150</v>
      </c>
      <c r="C77" t="s">
        <v>162</v>
      </c>
      <c r="D77" s="32">
        <v>3</v>
      </c>
      <c r="E77" s="32">
        <v>0</v>
      </c>
      <c r="F77" s="32">
        <v>0</v>
      </c>
      <c r="G77" s="32">
        <v>0</v>
      </c>
      <c r="H77" s="15" t="s">
        <v>166</v>
      </c>
    </row>
    <row r="78" spans="1:8" x14ac:dyDescent="0.2">
      <c r="A78" t="s">
        <v>13</v>
      </c>
      <c r="B78" t="s">
        <v>150</v>
      </c>
      <c r="C78" t="s">
        <v>162</v>
      </c>
      <c r="D78" s="32">
        <v>330.38333333333338</v>
      </c>
      <c r="E78" s="32">
        <v>0</v>
      </c>
      <c r="F78" s="32">
        <v>285840</v>
      </c>
      <c r="G78" s="32">
        <v>0</v>
      </c>
      <c r="H78" s="15" t="s">
        <v>166</v>
      </c>
    </row>
    <row r="79" spans="1:8" x14ac:dyDescent="0.2">
      <c r="A79" t="s">
        <v>24</v>
      </c>
      <c r="B79" t="s">
        <v>150</v>
      </c>
      <c r="C79" t="s">
        <v>162</v>
      </c>
      <c r="D79" s="32">
        <v>179.33333333333334</v>
      </c>
      <c r="E79" s="32">
        <v>0</v>
      </c>
      <c r="F79" s="32">
        <v>0</v>
      </c>
      <c r="G79" s="32">
        <v>0</v>
      </c>
      <c r="H79" s="15" t="s">
        <v>166</v>
      </c>
    </row>
    <row r="80" spans="1:8" x14ac:dyDescent="0.2">
      <c r="A80" t="s">
        <v>47</v>
      </c>
      <c r="B80" t="s">
        <v>150</v>
      </c>
      <c r="C80" t="s">
        <v>162</v>
      </c>
      <c r="D80" s="32">
        <v>35.566666666666663</v>
      </c>
      <c r="E80" s="32">
        <v>0</v>
      </c>
      <c r="F80" s="32">
        <v>0</v>
      </c>
      <c r="G80" s="32">
        <v>0</v>
      </c>
      <c r="H80" s="15" t="s">
        <v>166</v>
      </c>
    </row>
    <row r="81" spans="1:8" x14ac:dyDescent="0.2">
      <c r="A81" t="s">
        <v>92</v>
      </c>
      <c r="B81" t="s">
        <v>150</v>
      </c>
      <c r="C81" t="s">
        <v>162</v>
      </c>
      <c r="D81" s="32">
        <v>5.5333333333333332</v>
      </c>
      <c r="E81" s="32">
        <v>0</v>
      </c>
      <c r="F81" s="32">
        <v>0</v>
      </c>
      <c r="G81" s="32">
        <v>0</v>
      </c>
      <c r="H81" s="15" t="s">
        <v>166</v>
      </c>
    </row>
    <row r="82" spans="1:8" x14ac:dyDescent="0.2">
      <c r="A82" t="s">
        <v>46</v>
      </c>
      <c r="B82" t="s">
        <v>150</v>
      </c>
      <c r="C82" t="s">
        <v>162</v>
      </c>
      <c r="D82" s="32">
        <v>13.45</v>
      </c>
      <c r="E82" s="32">
        <v>0</v>
      </c>
      <c r="F82" s="32">
        <v>9920</v>
      </c>
      <c r="G82" s="32">
        <v>0</v>
      </c>
      <c r="H82" s="15" t="s">
        <v>166</v>
      </c>
    </row>
    <row r="83" spans="1:8" x14ac:dyDescent="0.2">
      <c r="A83" t="s">
        <v>38</v>
      </c>
      <c r="B83" t="s">
        <v>150</v>
      </c>
      <c r="C83" t="s">
        <v>162</v>
      </c>
      <c r="D83" s="32">
        <v>82.500000000000014</v>
      </c>
      <c r="E83" s="32">
        <v>0</v>
      </c>
      <c r="F83" s="32">
        <v>93813</v>
      </c>
      <c r="G83" s="32">
        <v>0</v>
      </c>
      <c r="H83" s="15" t="s">
        <v>166</v>
      </c>
    </row>
    <row r="84" spans="1:8" x14ac:dyDescent="0.2">
      <c r="A84" t="s">
        <v>164</v>
      </c>
      <c r="B84" t="s">
        <v>150</v>
      </c>
      <c r="C84" t="s">
        <v>162</v>
      </c>
      <c r="D84" s="32">
        <v>4.8000000000000007</v>
      </c>
      <c r="E84" s="32">
        <v>0</v>
      </c>
      <c r="F84" s="32">
        <v>0</v>
      </c>
      <c r="G84" s="32">
        <v>0</v>
      </c>
      <c r="H84" s="15" t="s">
        <v>166</v>
      </c>
    </row>
    <row r="85" spans="1:8" x14ac:dyDescent="0.2">
      <c r="A85" t="s">
        <v>165</v>
      </c>
      <c r="B85" t="s">
        <v>150</v>
      </c>
      <c r="C85" t="s">
        <v>162</v>
      </c>
      <c r="D85" s="32">
        <v>6</v>
      </c>
      <c r="E85" s="32">
        <v>0</v>
      </c>
      <c r="F85" s="32">
        <v>0</v>
      </c>
      <c r="G85" s="32">
        <v>0</v>
      </c>
      <c r="H85" s="15" t="s">
        <v>166</v>
      </c>
    </row>
    <row r="86" spans="1:8" x14ac:dyDescent="0.2">
      <c r="A86" t="s">
        <v>113</v>
      </c>
      <c r="B86" t="s">
        <v>150</v>
      </c>
      <c r="C86" t="s">
        <v>162</v>
      </c>
      <c r="D86" s="32">
        <v>2.6</v>
      </c>
      <c r="E86" s="32">
        <v>0</v>
      </c>
      <c r="F86" s="32">
        <v>0</v>
      </c>
      <c r="G86" s="32">
        <v>0</v>
      </c>
      <c r="H86" s="15" t="s">
        <v>166</v>
      </c>
    </row>
    <row r="87" spans="1:8" x14ac:dyDescent="0.2">
      <c r="A87" t="s">
        <v>80</v>
      </c>
      <c r="B87" t="s">
        <v>150</v>
      </c>
      <c r="C87" t="s">
        <v>162</v>
      </c>
      <c r="D87" s="32">
        <v>125.16666666666667</v>
      </c>
      <c r="E87" s="32">
        <v>0</v>
      </c>
      <c r="F87" s="32">
        <v>45000</v>
      </c>
      <c r="G87" s="32">
        <v>0</v>
      </c>
      <c r="H87" s="15" t="s">
        <v>166</v>
      </c>
    </row>
    <row r="88" spans="1:8" x14ac:dyDescent="0.2">
      <c r="A88" t="s">
        <v>25</v>
      </c>
      <c r="B88" t="s">
        <v>150</v>
      </c>
      <c r="C88" t="s">
        <v>162</v>
      </c>
      <c r="D88" s="32">
        <v>15.933333333333334</v>
      </c>
      <c r="E88" s="32">
        <v>0</v>
      </c>
      <c r="F88" s="32">
        <v>0</v>
      </c>
      <c r="G88" s="32">
        <v>0</v>
      </c>
      <c r="H88" s="15" t="s">
        <v>166</v>
      </c>
    </row>
    <row r="89" spans="1:8" x14ac:dyDescent="0.2">
      <c r="A89" t="s">
        <v>107</v>
      </c>
      <c r="B89" t="s">
        <v>150</v>
      </c>
      <c r="C89" t="s">
        <v>162</v>
      </c>
      <c r="D89" s="32">
        <v>26.249999999999996</v>
      </c>
      <c r="E89" s="32">
        <v>0</v>
      </c>
      <c r="F89" s="32">
        <v>6300</v>
      </c>
      <c r="G89" s="32">
        <v>0</v>
      </c>
      <c r="H89" s="15" t="s">
        <v>166</v>
      </c>
    </row>
    <row r="90" spans="1:8" x14ac:dyDescent="0.2">
      <c r="A90" t="s">
        <v>68</v>
      </c>
      <c r="B90" t="s">
        <v>151</v>
      </c>
      <c r="C90" t="s">
        <v>162</v>
      </c>
      <c r="D90" s="32">
        <v>927.68333333333374</v>
      </c>
      <c r="E90" s="32">
        <v>0</v>
      </c>
      <c r="F90" s="32">
        <v>603408</v>
      </c>
      <c r="G90" s="32">
        <v>0</v>
      </c>
      <c r="H90" s="15" t="s">
        <v>166</v>
      </c>
    </row>
    <row r="91" spans="1:8" x14ac:dyDescent="0.2">
      <c r="A91" t="s">
        <v>45</v>
      </c>
      <c r="B91" t="s">
        <v>151</v>
      </c>
      <c r="C91" t="s">
        <v>162</v>
      </c>
      <c r="D91" s="32">
        <v>65.800000000000011</v>
      </c>
      <c r="E91" s="32">
        <v>0</v>
      </c>
      <c r="F91" s="32">
        <v>43620</v>
      </c>
      <c r="G91" s="32">
        <v>0</v>
      </c>
      <c r="H91" s="15" t="s">
        <v>166</v>
      </c>
    </row>
    <row r="92" spans="1:8" x14ac:dyDescent="0.2">
      <c r="A92" t="s">
        <v>69</v>
      </c>
      <c r="B92" t="s">
        <v>151</v>
      </c>
      <c r="C92" t="s">
        <v>162</v>
      </c>
      <c r="D92" s="32">
        <v>360.76666666666665</v>
      </c>
      <c r="E92" s="32">
        <v>0</v>
      </c>
      <c r="F92" s="32">
        <v>293049</v>
      </c>
      <c r="G92" s="32">
        <v>0</v>
      </c>
      <c r="H92" s="15" t="s">
        <v>166</v>
      </c>
    </row>
    <row r="93" spans="1:8" x14ac:dyDescent="0.2">
      <c r="A93" t="s">
        <v>34</v>
      </c>
      <c r="B93" t="s">
        <v>152</v>
      </c>
      <c r="C93" t="s">
        <v>162</v>
      </c>
      <c r="D93" s="32">
        <v>30</v>
      </c>
      <c r="E93" s="32">
        <v>0</v>
      </c>
      <c r="F93" s="32">
        <v>16135</v>
      </c>
      <c r="G93" s="32">
        <v>0</v>
      </c>
      <c r="H93" s="15" t="s">
        <v>166</v>
      </c>
    </row>
    <row r="94" spans="1:8" x14ac:dyDescent="0.2">
      <c r="A94" t="s">
        <v>36</v>
      </c>
      <c r="B94" t="s">
        <v>152</v>
      </c>
      <c r="C94" t="s">
        <v>162</v>
      </c>
      <c r="D94" s="32">
        <v>4</v>
      </c>
      <c r="E94" s="32">
        <v>0</v>
      </c>
      <c r="F94" s="32">
        <v>3120</v>
      </c>
      <c r="G94" s="32">
        <v>0</v>
      </c>
      <c r="H94" s="15" t="s">
        <v>166</v>
      </c>
    </row>
    <row r="95" spans="1:8" x14ac:dyDescent="0.2">
      <c r="A95" t="s">
        <v>114</v>
      </c>
      <c r="B95" t="s">
        <v>153</v>
      </c>
      <c r="C95" t="s">
        <v>162</v>
      </c>
      <c r="D95" s="32">
        <v>89</v>
      </c>
      <c r="E95" s="32">
        <v>0</v>
      </c>
      <c r="F95" s="32">
        <v>1714</v>
      </c>
      <c r="G95" s="32">
        <v>0</v>
      </c>
      <c r="H95" s="15" t="s">
        <v>166</v>
      </c>
    </row>
    <row r="96" spans="1:8" x14ac:dyDescent="0.2">
      <c r="A96" t="s">
        <v>115</v>
      </c>
      <c r="B96" t="s">
        <v>153</v>
      </c>
      <c r="C96" t="s">
        <v>162</v>
      </c>
      <c r="D96" s="32">
        <v>28</v>
      </c>
      <c r="E96" s="32">
        <v>0</v>
      </c>
      <c r="F96" s="32">
        <v>16515</v>
      </c>
      <c r="G96" s="32">
        <v>0</v>
      </c>
      <c r="H96" s="15" t="s">
        <v>166</v>
      </c>
    </row>
    <row r="97" spans="1:8" x14ac:dyDescent="0.2">
      <c r="A97" t="s">
        <v>101</v>
      </c>
      <c r="B97" t="s">
        <v>153</v>
      </c>
      <c r="C97" t="s">
        <v>162</v>
      </c>
      <c r="D97" s="32">
        <v>45.566666666666663</v>
      </c>
      <c r="E97" s="32">
        <v>0</v>
      </c>
      <c r="F97" s="32">
        <v>20760</v>
      </c>
      <c r="G97" s="32">
        <v>0</v>
      </c>
      <c r="H97" s="15" t="s">
        <v>166</v>
      </c>
    </row>
    <row r="98" spans="1:8" x14ac:dyDescent="0.2">
      <c r="A98" t="s">
        <v>98</v>
      </c>
      <c r="B98" t="s">
        <v>153</v>
      </c>
      <c r="C98" t="s">
        <v>162</v>
      </c>
      <c r="D98" s="32">
        <v>144.60000000000002</v>
      </c>
      <c r="E98" s="32">
        <v>0</v>
      </c>
      <c r="F98" s="32">
        <v>56620</v>
      </c>
      <c r="G98" s="32">
        <v>0</v>
      </c>
      <c r="H98" s="15" t="s">
        <v>166</v>
      </c>
    </row>
    <row r="99" spans="1:8" x14ac:dyDescent="0.2">
      <c r="A99" t="s">
        <v>49</v>
      </c>
      <c r="B99" t="s">
        <v>153</v>
      </c>
      <c r="C99" t="s">
        <v>162</v>
      </c>
      <c r="D99" s="32">
        <v>123.75</v>
      </c>
      <c r="E99" s="32">
        <v>0</v>
      </c>
      <c r="F99" s="32">
        <v>56005</v>
      </c>
      <c r="G99" s="32">
        <v>0</v>
      </c>
      <c r="H99" s="15" t="s">
        <v>166</v>
      </c>
    </row>
    <row r="100" spans="1:8" x14ac:dyDescent="0.2">
      <c r="A100" t="s">
        <v>21</v>
      </c>
      <c r="B100" t="s">
        <v>153</v>
      </c>
      <c r="C100" t="s">
        <v>162</v>
      </c>
      <c r="D100" s="32">
        <v>96.399999999999991</v>
      </c>
      <c r="E100" s="32">
        <v>0</v>
      </c>
      <c r="F100" s="32">
        <v>43460</v>
      </c>
      <c r="G100" s="32">
        <v>0</v>
      </c>
      <c r="H100" s="15" t="s">
        <v>166</v>
      </c>
    </row>
    <row r="101" spans="1:8" x14ac:dyDescent="0.2">
      <c r="A101" t="s">
        <v>97</v>
      </c>
      <c r="B101" t="s">
        <v>153</v>
      </c>
      <c r="C101" t="s">
        <v>162</v>
      </c>
      <c r="D101" s="32">
        <v>88.866666666666674</v>
      </c>
      <c r="E101" s="32">
        <v>0</v>
      </c>
      <c r="F101" s="32">
        <v>45080</v>
      </c>
      <c r="G101" s="32">
        <v>0</v>
      </c>
      <c r="H101" s="15" t="s">
        <v>166</v>
      </c>
    </row>
    <row r="102" spans="1:8" x14ac:dyDescent="0.2">
      <c r="A102" t="s">
        <v>71</v>
      </c>
      <c r="B102" t="s">
        <v>153</v>
      </c>
      <c r="C102" t="s">
        <v>162</v>
      </c>
      <c r="D102" s="32">
        <v>275.39999999999998</v>
      </c>
      <c r="E102" s="32">
        <v>0</v>
      </c>
      <c r="F102" s="32">
        <v>137140</v>
      </c>
      <c r="G102" s="32">
        <v>0</v>
      </c>
      <c r="H102" s="15" t="s">
        <v>166</v>
      </c>
    </row>
    <row r="103" spans="1:8" x14ac:dyDescent="0.2">
      <c r="A103" t="s">
        <v>43</v>
      </c>
      <c r="B103" t="s">
        <v>153</v>
      </c>
      <c r="C103" t="s">
        <v>162</v>
      </c>
      <c r="D103" s="32">
        <v>1114.3666666666668</v>
      </c>
      <c r="E103" s="32">
        <v>0</v>
      </c>
      <c r="F103" s="32">
        <v>566220</v>
      </c>
      <c r="G103" s="32">
        <v>0</v>
      </c>
      <c r="H103" s="15" t="s">
        <v>166</v>
      </c>
    </row>
    <row r="104" spans="1:8" x14ac:dyDescent="0.2">
      <c r="A104" t="s">
        <v>160</v>
      </c>
      <c r="B104" t="s">
        <v>154</v>
      </c>
      <c r="C104" t="s">
        <v>162</v>
      </c>
      <c r="D104" s="32">
        <v>360</v>
      </c>
      <c r="E104" s="32">
        <v>0</v>
      </c>
      <c r="F104" s="32">
        <v>0</v>
      </c>
      <c r="G104" s="32">
        <v>0</v>
      </c>
      <c r="H104" s="15" t="s">
        <v>166</v>
      </c>
    </row>
    <row r="105" spans="1:8" x14ac:dyDescent="0.2">
      <c r="A105" t="s">
        <v>42</v>
      </c>
      <c r="B105" t="s">
        <v>149</v>
      </c>
      <c r="C105" s="15" t="s">
        <v>161</v>
      </c>
      <c r="D105" s="32">
        <v>54.58333333333335</v>
      </c>
      <c r="E105" s="32">
        <v>0</v>
      </c>
      <c r="F105" s="32">
        <v>0</v>
      </c>
      <c r="G105" s="32">
        <v>0</v>
      </c>
      <c r="H105" s="15" t="s">
        <v>173</v>
      </c>
    </row>
    <row r="106" spans="1:8" x14ac:dyDescent="0.2">
      <c r="A106" t="s">
        <v>4</v>
      </c>
      <c r="B106" t="s">
        <v>149</v>
      </c>
      <c r="C106" s="15" t="s">
        <v>161</v>
      </c>
      <c r="D106" s="32">
        <v>24.083333333333332</v>
      </c>
      <c r="E106" s="32">
        <v>0</v>
      </c>
      <c r="F106" s="32">
        <v>5096</v>
      </c>
      <c r="G106" s="32">
        <v>0</v>
      </c>
      <c r="H106" s="15" t="s">
        <v>173</v>
      </c>
    </row>
    <row r="107" spans="1:8" x14ac:dyDescent="0.2">
      <c r="A107" t="s">
        <v>2</v>
      </c>
      <c r="B107" t="s">
        <v>149</v>
      </c>
      <c r="C107" s="15" t="s">
        <v>161</v>
      </c>
      <c r="D107" s="32">
        <v>15.016666666666667</v>
      </c>
      <c r="E107" s="32">
        <v>0</v>
      </c>
      <c r="F107" s="32">
        <v>15551</v>
      </c>
      <c r="G107" s="32">
        <v>0</v>
      </c>
      <c r="H107" s="15" t="s">
        <v>173</v>
      </c>
    </row>
    <row r="108" spans="1:8" x14ac:dyDescent="0.2">
      <c r="A108" t="s">
        <v>1</v>
      </c>
      <c r="B108" t="s">
        <v>149</v>
      </c>
      <c r="C108" s="15" t="s">
        <v>161</v>
      </c>
      <c r="D108" s="32">
        <v>13.366666666666664</v>
      </c>
      <c r="E108" s="32">
        <v>0</v>
      </c>
      <c r="F108" s="32">
        <v>4094.2067000000006</v>
      </c>
      <c r="G108" s="32">
        <v>0</v>
      </c>
      <c r="H108" s="15" t="s">
        <v>173</v>
      </c>
    </row>
    <row r="109" spans="1:8" x14ac:dyDescent="0.2">
      <c r="A109" t="s">
        <v>27</v>
      </c>
      <c r="B109" t="s">
        <v>149</v>
      </c>
      <c r="C109" s="15" t="s">
        <v>161</v>
      </c>
      <c r="D109" s="32">
        <v>447.95000000000005</v>
      </c>
      <c r="E109" s="32">
        <v>0</v>
      </c>
      <c r="F109" s="32">
        <v>0</v>
      </c>
      <c r="G109" s="32">
        <v>0</v>
      </c>
      <c r="H109" s="15" t="s">
        <v>173</v>
      </c>
    </row>
    <row r="110" spans="1:8" x14ac:dyDescent="0.2">
      <c r="A110" t="s">
        <v>23</v>
      </c>
      <c r="B110" t="s">
        <v>149</v>
      </c>
      <c r="C110" s="15" t="s">
        <v>161</v>
      </c>
      <c r="D110" s="32">
        <v>133.5</v>
      </c>
      <c r="E110" s="32">
        <v>0</v>
      </c>
      <c r="F110" s="32">
        <v>0</v>
      </c>
      <c r="G110" s="32">
        <v>0</v>
      </c>
      <c r="H110" s="15" t="s">
        <v>173</v>
      </c>
    </row>
    <row r="111" spans="1:8" x14ac:dyDescent="0.2">
      <c r="A111" t="s">
        <v>57</v>
      </c>
      <c r="B111" t="s">
        <v>149</v>
      </c>
      <c r="C111" s="15" t="s">
        <v>161</v>
      </c>
      <c r="D111" s="32">
        <v>0.83333333333333337</v>
      </c>
      <c r="E111" s="32">
        <v>0</v>
      </c>
      <c r="F111" s="32">
        <v>0</v>
      </c>
      <c r="G111" s="32">
        <v>0</v>
      </c>
      <c r="H111" s="15" t="s">
        <v>173</v>
      </c>
    </row>
    <row r="112" spans="1:8" x14ac:dyDescent="0.2">
      <c r="A112" t="s">
        <v>6</v>
      </c>
      <c r="B112" t="s">
        <v>149</v>
      </c>
      <c r="C112" s="15" t="s">
        <v>161</v>
      </c>
      <c r="D112" s="32">
        <v>55.5</v>
      </c>
      <c r="E112" s="32">
        <v>0</v>
      </c>
      <c r="F112" s="32">
        <v>0</v>
      </c>
      <c r="G112" s="32">
        <v>0</v>
      </c>
      <c r="H112" s="15" t="s">
        <v>173</v>
      </c>
    </row>
    <row r="113" spans="1:8" x14ac:dyDescent="0.2">
      <c r="A113" t="s">
        <v>174</v>
      </c>
      <c r="B113" t="s">
        <v>149</v>
      </c>
      <c r="C113" s="15" t="s">
        <v>161</v>
      </c>
      <c r="D113" s="32">
        <v>6.8000000000000007</v>
      </c>
      <c r="E113" s="32">
        <v>0</v>
      </c>
      <c r="F113" s="32">
        <v>0</v>
      </c>
      <c r="G113" s="32">
        <v>0</v>
      </c>
      <c r="H113" s="15" t="s">
        <v>173</v>
      </c>
    </row>
    <row r="114" spans="1:8" x14ac:dyDescent="0.2">
      <c r="A114" t="s">
        <v>42</v>
      </c>
      <c r="B114" t="s">
        <v>149</v>
      </c>
      <c r="C114" s="15" t="s">
        <v>162</v>
      </c>
      <c r="D114" s="32">
        <v>2.3333333333333335</v>
      </c>
      <c r="E114" s="32">
        <v>0</v>
      </c>
      <c r="F114" s="32">
        <v>0</v>
      </c>
      <c r="G114" s="32">
        <v>0</v>
      </c>
      <c r="H114" s="15" t="s">
        <v>173</v>
      </c>
    </row>
    <row r="115" spans="1:8" x14ac:dyDescent="0.2">
      <c r="A115" t="s">
        <v>4</v>
      </c>
      <c r="B115" t="s">
        <v>149</v>
      </c>
      <c r="C115" s="15" t="s">
        <v>162</v>
      </c>
      <c r="D115" s="32">
        <v>3.9166666666666665</v>
      </c>
      <c r="E115" s="32">
        <v>0</v>
      </c>
      <c r="F115" s="32">
        <v>500</v>
      </c>
      <c r="G115" s="32">
        <v>0</v>
      </c>
      <c r="H115" s="15" t="s">
        <v>173</v>
      </c>
    </row>
    <row r="116" spans="1:8" x14ac:dyDescent="0.2">
      <c r="A116" t="s">
        <v>2</v>
      </c>
      <c r="B116" t="s">
        <v>149</v>
      </c>
      <c r="C116" s="15" t="s">
        <v>162</v>
      </c>
      <c r="D116" s="32">
        <v>721.88333333333344</v>
      </c>
      <c r="E116" s="32">
        <v>0</v>
      </c>
      <c r="F116" s="32">
        <v>320487</v>
      </c>
      <c r="G116" s="32">
        <v>0</v>
      </c>
      <c r="H116" s="15" t="s">
        <v>173</v>
      </c>
    </row>
    <row r="117" spans="1:8" x14ac:dyDescent="0.2">
      <c r="A117" t="s">
        <v>1</v>
      </c>
      <c r="B117" t="s">
        <v>149</v>
      </c>
      <c r="C117" s="15" t="s">
        <v>162</v>
      </c>
      <c r="D117" s="32">
        <v>1.9666666666666668</v>
      </c>
      <c r="E117" s="32">
        <v>0</v>
      </c>
      <c r="F117" s="32">
        <v>0</v>
      </c>
      <c r="G117" s="32">
        <v>0</v>
      </c>
      <c r="H117" s="15" t="s">
        <v>173</v>
      </c>
    </row>
    <row r="118" spans="1:8" x14ac:dyDescent="0.2">
      <c r="A118" t="s">
        <v>27</v>
      </c>
      <c r="B118" t="s">
        <v>149</v>
      </c>
      <c r="C118" s="15" t="s">
        <v>162</v>
      </c>
      <c r="D118" s="32">
        <v>95.48333333333332</v>
      </c>
      <c r="E118" s="32">
        <v>0</v>
      </c>
      <c r="F118" s="32">
        <v>0</v>
      </c>
      <c r="G118" s="32">
        <v>0</v>
      </c>
      <c r="H118" s="15" t="s">
        <v>173</v>
      </c>
    </row>
    <row r="119" spans="1:8" x14ac:dyDescent="0.2">
      <c r="A119" t="s">
        <v>57</v>
      </c>
      <c r="B119" t="s">
        <v>149</v>
      </c>
      <c r="C119" s="15" t="s">
        <v>162</v>
      </c>
      <c r="D119" s="32">
        <v>3.5</v>
      </c>
      <c r="E119" s="32">
        <v>0</v>
      </c>
      <c r="F119" s="32">
        <v>0</v>
      </c>
      <c r="G119" s="32">
        <v>0</v>
      </c>
      <c r="H119" s="15" t="s">
        <v>173</v>
      </c>
    </row>
    <row r="120" spans="1:8" x14ac:dyDescent="0.2">
      <c r="A120" t="s">
        <v>68</v>
      </c>
      <c r="B120" t="s">
        <v>151</v>
      </c>
      <c r="C120" s="15" t="s">
        <v>162</v>
      </c>
      <c r="D120" s="32">
        <v>898.05000000000018</v>
      </c>
      <c r="E120" s="32">
        <v>0</v>
      </c>
      <c r="F120" s="32">
        <v>566289</v>
      </c>
      <c r="G120" s="32">
        <v>0</v>
      </c>
      <c r="H120" s="15" t="s">
        <v>173</v>
      </c>
    </row>
    <row r="121" spans="1:8" x14ac:dyDescent="0.2">
      <c r="A121" t="s">
        <v>10</v>
      </c>
      <c r="B121" t="s">
        <v>150</v>
      </c>
      <c r="C121" s="15" t="s">
        <v>162</v>
      </c>
      <c r="D121" s="32">
        <v>57.25</v>
      </c>
      <c r="E121" s="32">
        <v>0</v>
      </c>
      <c r="F121" s="32">
        <v>352692</v>
      </c>
      <c r="G121" s="32">
        <v>0</v>
      </c>
      <c r="H121" s="15" t="s">
        <v>173</v>
      </c>
    </row>
    <row r="122" spans="1:8" x14ac:dyDescent="0.2">
      <c r="A122" t="s">
        <v>114</v>
      </c>
      <c r="B122" t="s">
        <v>153</v>
      </c>
      <c r="C122" s="15" t="s">
        <v>162</v>
      </c>
      <c r="D122" s="32">
        <v>88</v>
      </c>
      <c r="E122" s="32">
        <v>0</v>
      </c>
      <c r="F122" s="32">
        <v>1828</v>
      </c>
      <c r="G122" s="32">
        <v>0</v>
      </c>
      <c r="H122" s="15" t="s">
        <v>173</v>
      </c>
    </row>
    <row r="123" spans="1:8" x14ac:dyDescent="0.2">
      <c r="A123" t="s">
        <v>75</v>
      </c>
      <c r="B123" t="s">
        <v>150</v>
      </c>
      <c r="C123" s="15" t="s">
        <v>162</v>
      </c>
      <c r="D123" s="32">
        <v>14.549999999999999</v>
      </c>
      <c r="E123" s="32">
        <v>0</v>
      </c>
      <c r="F123" s="32">
        <v>0</v>
      </c>
      <c r="G123" s="32">
        <v>0</v>
      </c>
      <c r="H123" s="15" t="s">
        <v>173</v>
      </c>
    </row>
    <row r="124" spans="1:8" x14ac:dyDescent="0.2">
      <c r="A124" t="s">
        <v>52</v>
      </c>
      <c r="B124" t="s">
        <v>150</v>
      </c>
      <c r="C124" s="15" t="s">
        <v>162</v>
      </c>
      <c r="D124" s="32">
        <v>3</v>
      </c>
      <c r="E124" s="32">
        <v>0</v>
      </c>
      <c r="F124" s="32">
        <v>0</v>
      </c>
      <c r="G124" s="32">
        <v>0</v>
      </c>
      <c r="H124" s="15" t="s">
        <v>173</v>
      </c>
    </row>
    <row r="125" spans="1:8" x14ac:dyDescent="0.2">
      <c r="A125" t="s">
        <v>34</v>
      </c>
      <c r="B125" t="s">
        <v>152</v>
      </c>
      <c r="C125" s="15" t="s">
        <v>162</v>
      </c>
      <c r="D125" s="32">
        <v>45</v>
      </c>
      <c r="E125" s="32">
        <v>0</v>
      </c>
      <c r="F125" s="32">
        <v>13313</v>
      </c>
      <c r="G125" s="32">
        <v>0</v>
      </c>
      <c r="H125" s="15" t="s">
        <v>173</v>
      </c>
    </row>
    <row r="126" spans="1:8" x14ac:dyDescent="0.2">
      <c r="A126" t="s">
        <v>163</v>
      </c>
      <c r="B126" t="s">
        <v>150</v>
      </c>
      <c r="C126" s="15" t="s">
        <v>162</v>
      </c>
      <c r="D126" s="32">
        <v>11.916666666666666</v>
      </c>
      <c r="E126" s="32">
        <v>0</v>
      </c>
      <c r="F126" s="32">
        <v>0</v>
      </c>
      <c r="G126" s="32">
        <v>0</v>
      </c>
      <c r="H126" s="15" t="s">
        <v>173</v>
      </c>
    </row>
    <row r="127" spans="1:8" x14ac:dyDescent="0.2">
      <c r="A127" t="s">
        <v>45</v>
      </c>
      <c r="B127" t="s">
        <v>151</v>
      </c>
      <c r="C127" s="15" t="s">
        <v>162</v>
      </c>
      <c r="D127" s="32">
        <v>82.26666666666668</v>
      </c>
      <c r="E127" s="32">
        <v>0</v>
      </c>
      <c r="F127" s="32">
        <v>56900</v>
      </c>
      <c r="G127" s="32">
        <v>0</v>
      </c>
      <c r="H127" s="15" t="s">
        <v>173</v>
      </c>
    </row>
    <row r="128" spans="1:8" x14ac:dyDescent="0.2">
      <c r="A128" t="s">
        <v>93</v>
      </c>
      <c r="B128" t="s">
        <v>150</v>
      </c>
      <c r="C128" s="15" t="s">
        <v>162</v>
      </c>
      <c r="D128" s="32">
        <v>12</v>
      </c>
      <c r="E128" s="32">
        <v>0</v>
      </c>
      <c r="F128" s="32">
        <v>0</v>
      </c>
      <c r="G128" s="32">
        <v>0</v>
      </c>
      <c r="H128" s="15" t="s">
        <v>173</v>
      </c>
    </row>
    <row r="129" spans="1:8" x14ac:dyDescent="0.2">
      <c r="A129" t="s">
        <v>31</v>
      </c>
      <c r="B129" t="s">
        <v>152</v>
      </c>
      <c r="C129" s="15" t="s">
        <v>162</v>
      </c>
      <c r="D129" s="32">
        <v>5.9833333333333334</v>
      </c>
      <c r="E129" s="32">
        <v>0</v>
      </c>
      <c r="F129" s="32">
        <v>3904</v>
      </c>
      <c r="G129" s="32">
        <v>0</v>
      </c>
      <c r="H129" s="15" t="s">
        <v>173</v>
      </c>
    </row>
    <row r="130" spans="1:8" x14ac:dyDescent="0.2">
      <c r="A130" t="s">
        <v>159</v>
      </c>
      <c r="B130" t="s">
        <v>150</v>
      </c>
      <c r="C130" s="15" t="s">
        <v>162</v>
      </c>
      <c r="D130" s="32">
        <v>19</v>
      </c>
      <c r="E130" s="32">
        <v>0</v>
      </c>
      <c r="F130" s="32">
        <v>0</v>
      </c>
      <c r="G130" s="32">
        <v>0</v>
      </c>
      <c r="H130" s="15" t="s">
        <v>173</v>
      </c>
    </row>
    <row r="131" spans="1:8" x14ac:dyDescent="0.2">
      <c r="A131" t="s">
        <v>14</v>
      </c>
      <c r="B131" t="s">
        <v>150</v>
      </c>
      <c r="C131" s="15" t="s">
        <v>162</v>
      </c>
      <c r="D131" s="32">
        <v>6</v>
      </c>
      <c r="E131" s="32">
        <v>0</v>
      </c>
      <c r="F131" s="32">
        <v>0</v>
      </c>
      <c r="G131" s="32">
        <v>0</v>
      </c>
      <c r="H131" s="15" t="s">
        <v>173</v>
      </c>
    </row>
    <row r="132" spans="1:8" x14ac:dyDescent="0.2">
      <c r="A132" t="s">
        <v>175</v>
      </c>
      <c r="B132" t="s">
        <v>150</v>
      </c>
      <c r="C132" s="15" t="s">
        <v>162</v>
      </c>
      <c r="D132" s="32">
        <v>2.9833333333333334</v>
      </c>
      <c r="E132" s="32">
        <v>0</v>
      </c>
      <c r="F132" s="32">
        <v>0</v>
      </c>
      <c r="G132" s="32">
        <v>0</v>
      </c>
      <c r="H132" s="15" t="s">
        <v>173</v>
      </c>
    </row>
    <row r="133" spans="1:8" x14ac:dyDescent="0.2">
      <c r="A133" t="s">
        <v>115</v>
      </c>
      <c r="B133" t="s">
        <v>153</v>
      </c>
      <c r="C133" s="15" t="s">
        <v>162</v>
      </c>
      <c r="D133" s="32">
        <v>35</v>
      </c>
      <c r="E133" s="32">
        <v>0</v>
      </c>
      <c r="F133" s="32">
        <v>24165</v>
      </c>
      <c r="G133" s="32">
        <v>0</v>
      </c>
      <c r="H133" s="15" t="s">
        <v>173</v>
      </c>
    </row>
    <row r="134" spans="1:8" x14ac:dyDescent="0.2">
      <c r="A134" t="s">
        <v>13</v>
      </c>
      <c r="B134" t="s">
        <v>150</v>
      </c>
      <c r="C134" s="15" t="s">
        <v>162</v>
      </c>
      <c r="D134" s="32">
        <v>321.98333333333341</v>
      </c>
      <c r="E134" s="32">
        <v>0</v>
      </c>
      <c r="F134" s="32">
        <v>283700</v>
      </c>
      <c r="G134" s="32">
        <v>0</v>
      </c>
      <c r="H134" s="15" t="s">
        <v>173</v>
      </c>
    </row>
    <row r="135" spans="1:8" x14ac:dyDescent="0.2">
      <c r="A135" t="s">
        <v>24</v>
      </c>
      <c r="B135" t="s">
        <v>150</v>
      </c>
      <c r="C135" s="15" t="s">
        <v>162</v>
      </c>
      <c r="D135" s="32">
        <v>146.16666666666666</v>
      </c>
      <c r="E135" s="32">
        <v>0</v>
      </c>
      <c r="F135" s="32">
        <v>0</v>
      </c>
      <c r="G135" s="32">
        <v>0</v>
      </c>
      <c r="H135" s="15" t="s">
        <v>173</v>
      </c>
    </row>
    <row r="136" spans="1:8" x14ac:dyDescent="0.2">
      <c r="A136" t="s">
        <v>47</v>
      </c>
      <c r="B136" t="s">
        <v>150</v>
      </c>
      <c r="C136" s="15" t="s">
        <v>162</v>
      </c>
      <c r="D136" s="32">
        <v>30.249999999999996</v>
      </c>
      <c r="E136" s="32">
        <v>0</v>
      </c>
      <c r="F136" s="32">
        <v>0</v>
      </c>
      <c r="G136" s="32">
        <v>0</v>
      </c>
      <c r="H136" s="15" t="s">
        <v>173</v>
      </c>
    </row>
    <row r="137" spans="1:8" x14ac:dyDescent="0.2">
      <c r="A137" t="s">
        <v>104</v>
      </c>
      <c r="B137" t="s">
        <v>150</v>
      </c>
      <c r="C137" s="15" t="s">
        <v>162</v>
      </c>
      <c r="D137" s="32">
        <v>19.083333333333332</v>
      </c>
      <c r="E137" s="32">
        <v>0</v>
      </c>
      <c r="F137" s="32">
        <v>0</v>
      </c>
      <c r="G137" s="32">
        <v>0</v>
      </c>
      <c r="H137" s="15" t="s">
        <v>173</v>
      </c>
    </row>
    <row r="138" spans="1:8" x14ac:dyDescent="0.2">
      <c r="A138" t="s">
        <v>92</v>
      </c>
      <c r="B138" t="s">
        <v>150</v>
      </c>
      <c r="C138" s="15" t="s">
        <v>162</v>
      </c>
      <c r="D138" s="32">
        <v>5.0999999999999996</v>
      </c>
      <c r="E138" s="32">
        <v>0</v>
      </c>
      <c r="F138" s="32">
        <v>0</v>
      </c>
      <c r="G138" s="32">
        <v>0</v>
      </c>
      <c r="H138" s="15" t="s">
        <v>173</v>
      </c>
    </row>
    <row r="139" spans="1:8" x14ac:dyDescent="0.2">
      <c r="A139" t="s">
        <v>160</v>
      </c>
      <c r="B139" t="s">
        <v>154</v>
      </c>
      <c r="C139" s="15" t="s">
        <v>162</v>
      </c>
      <c r="D139" s="32">
        <v>480</v>
      </c>
      <c r="E139" s="32">
        <v>0</v>
      </c>
      <c r="F139" s="32">
        <v>0</v>
      </c>
      <c r="G139" s="32">
        <v>0</v>
      </c>
      <c r="H139" s="15" t="s">
        <v>173</v>
      </c>
    </row>
    <row r="140" spans="1:8" x14ac:dyDescent="0.2">
      <c r="A140" t="s">
        <v>32</v>
      </c>
      <c r="B140" t="s">
        <v>152</v>
      </c>
      <c r="C140" s="15" t="s">
        <v>162</v>
      </c>
      <c r="D140" s="32">
        <v>2.0833333333333335</v>
      </c>
      <c r="E140" s="32">
        <v>0</v>
      </c>
      <c r="F140" s="32">
        <v>1135</v>
      </c>
      <c r="G140" s="32">
        <v>0</v>
      </c>
      <c r="H140" s="15" t="s">
        <v>173</v>
      </c>
    </row>
    <row r="141" spans="1:8" x14ac:dyDescent="0.2">
      <c r="A141" t="s">
        <v>6</v>
      </c>
      <c r="B141" t="s">
        <v>149</v>
      </c>
      <c r="C141" s="15" t="s">
        <v>162</v>
      </c>
      <c r="D141" s="32">
        <v>66</v>
      </c>
      <c r="E141" s="32">
        <v>0</v>
      </c>
      <c r="F141" s="32">
        <v>0</v>
      </c>
      <c r="G141" s="32">
        <v>0</v>
      </c>
      <c r="H141" s="15" t="s">
        <v>173</v>
      </c>
    </row>
    <row r="142" spans="1:8" x14ac:dyDescent="0.2">
      <c r="A142" t="s">
        <v>46</v>
      </c>
      <c r="B142" t="s">
        <v>150</v>
      </c>
      <c r="C142" s="15" t="s">
        <v>162</v>
      </c>
      <c r="D142" s="32">
        <v>67.149999999999991</v>
      </c>
      <c r="E142" s="32">
        <v>0</v>
      </c>
      <c r="F142" s="32">
        <v>68360</v>
      </c>
      <c r="G142" s="32">
        <v>0</v>
      </c>
      <c r="H142" s="15" t="s">
        <v>173</v>
      </c>
    </row>
    <row r="143" spans="1:8" x14ac:dyDescent="0.2">
      <c r="A143" t="s">
        <v>38</v>
      </c>
      <c r="B143" t="s">
        <v>150</v>
      </c>
      <c r="C143" s="15" t="s">
        <v>162</v>
      </c>
      <c r="D143" s="32">
        <v>7</v>
      </c>
      <c r="E143" s="32">
        <v>0</v>
      </c>
      <c r="F143" s="32">
        <v>8962</v>
      </c>
      <c r="G143" s="32">
        <v>0</v>
      </c>
      <c r="H143" s="15" t="s">
        <v>173</v>
      </c>
    </row>
    <row r="144" spans="1:8" x14ac:dyDescent="0.2">
      <c r="A144" t="s">
        <v>164</v>
      </c>
      <c r="B144" t="s">
        <v>150</v>
      </c>
      <c r="C144" s="15" t="s">
        <v>162</v>
      </c>
      <c r="D144" s="32">
        <v>15</v>
      </c>
      <c r="E144" s="32">
        <v>0</v>
      </c>
      <c r="F144" s="32">
        <v>0</v>
      </c>
      <c r="G144" s="32">
        <v>0</v>
      </c>
      <c r="H144" s="15" t="s">
        <v>173</v>
      </c>
    </row>
    <row r="145" spans="1:8" x14ac:dyDescent="0.2">
      <c r="A145" t="s">
        <v>101</v>
      </c>
      <c r="B145" t="s">
        <v>153</v>
      </c>
      <c r="C145" s="15" t="s">
        <v>162</v>
      </c>
      <c r="D145" s="32">
        <v>33.5</v>
      </c>
      <c r="E145" s="32">
        <v>0</v>
      </c>
      <c r="F145" s="32">
        <v>15460</v>
      </c>
      <c r="G145" s="32">
        <v>0</v>
      </c>
      <c r="H145" s="15" t="s">
        <v>173</v>
      </c>
    </row>
    <row r="146" spans="1:8" x14ac:dyDescent="0.2">
      <c r="A146" t="s">
        <v>177</v>
      </c>
      <c r="B146" t="s">
        <v>153</v>
      </c>
      <c r="C146" s="15" t="s">
        <v>162</v>
      </c>
      <c r="D146" s="32">
        <v>11</v>
      </c>
      <c r="E146" s="32">
        <v>0</v>
      </c>
      <c r="F146" s="32">
        <v>260</v>
      </c>
      <c r="G146" s="32">
        <v>0</v>
      </c>
      <c r="H146" s="15" t="s">
        <v>173</v>
      </c>
    </row>
    <row r="147" spans="1:8" x14ac:dyDescent="0.2">
      <c r="A147" t="s">
        <v>98</v>
      </c>
      <c r="B147" t="s">
        <v>153</v>
      </c>
      <c r="C147" s="15" t="s">
        <v>162</v>
      </c>
      <c r="D147" s="32">
        <v>131.83333333333334</v>
      </c>
      <c r="E147" s="32">
        <v>0</v>
      </c>
      <c r="F147" s="32">
        <v>40240</v>
      </c>
      <c r="G147" s="32">
        <v>0</v>
      </c>
      <c r="H147" s="15" t="s">
        <v>173</v>
      </c>
    </row>
    <row r="148" spans="1:8" x14ac:dyDescent="0.2">
      <c r="A148" t="s">
        <v>49</v>
      </c>
      <c r="B148" t="s">
        <v>153</v>
      </c>
      <c r="C148" s="15" t="s">
        <v>162</v>
      </c>
      <c r="D148" s="32">
        <v>101.25</v>
      </c>
      <c r="E148" s="32">
        <v>0</v>
      </c>
      <c r="F148" s="32">
        <v>40316</v>
      </c>
      <c r="G148" s="32">
        <v>0</v>
      </c>
      <c r="H148" s="15" t="s">
        <v>173</v>
      </c>
    </row>
    <row r="149" spans="1:8" x14ac:dyDescent="0.2">
      <c r="A149" t="s">
        <v>69</v>
      </c>
      <c r="B149" t="s">
        <v>151</v>
      </c>
      <c r="C149" s="15" t="s">
        <v>162</v>
      </c>
      <c r="D149" s="32">
        <v>404.46666666666664</v>
      </c>
      <c r="E149" s="32">
        <v>0</v>
      </c>
      <c r="F149" s="32">
        <v>331886</v>
      </c>
      <c r="G149" s="32">
        <v>0</v>
      </c>
      <c r="H149" s="15" t="s">
        <v>173</v>
      </c>
    </row>
    <row r="150" spans="1:8" x14ac:dyDescent="0.2">
      <c r="A150" t="s">
        <v>113</v>
      </c>
      <c r="B150" t="s">
        <v>150</v>
      </c>
      <c r="C150" s="15" t="s">
        <v>162</v>
      </c>
      <c r="D150" s="32">
        <v>2.6</v>
      </c>
      <c r="E150" s="32">
        <v>0</v>
      </c>
      <c r="F150" s="32">
        <v>0</v>
      </c>
      <c r="G150" s="32">
        <v>0</v>
      </c>
      <c r="H150" s="15" t="s">
        <v>173</v>
      </c>
    </row>
    <row r="151" spans="1:8" x14ac:dyDescent="0.2">
      <c r="A151" t="s">
        <v>36</v>
      </c>
      <c r="B151" t="s">
        <v>152</v>
      </c>
      <c r="C151" s="15" t="s">
        <v>162</v>
      </c>
      <c r="D151" s="32">
        <v>2</v>
      </c>
      <c r="E151" s="32">
        <v>0</v>
      </c>
      <c r="F151" s="32">
        <v>1614</v>
      </c>
      <c r="G151" s="32">
        <v>0</v>
      </c>
      <c r="H151" s="15" t="s">
        <v>173</v>
      </c>
    </row>
    <row r="152" spans="1:8" x14ac:dyDescent="0.2">
      <c r="A152" t="s">
        <v>80</v>
      </c>
      <c r="B152" t="s">
        <v>150</v>
      </c>
      <c r="C152" s="15" t="s">
        <v>162</v>
      </c>
      <c r="D152" s="32">
        <v>121.33333333333334</v>
      </c>
      <c r="E152" s="32">
        <v>0</v>
      </c>
      <c r="F152" s="32">
        <v>52260</v>
      </c>
      <c r="G152" s="32">
        <v>0</v>
      </c>
      <c r="H152" s="15" t="s">
        <v>173</v>
      </c>
    </row>
    <row r="153" spans="1:8" x14ac:dyDescent="0.2">
      <c r="A153" t="s">
        <v>178</v>
      </c>
      <c r="B153" t="s">
        <v>153</v>
      </c>
      <c r="C153" s="15" t="s">
        <v>162</v>
      </c>
      <c r="D153" s="32">
        <v>1216.3333333333335</v>
      </c>
      <c r="E153" s="32">
        <v>0</v>
      </c>
      <c r="F153" s="32">
        <v>635360</v>
      </c>
      <c r="G153" s="32">
        <v>0</v>
      </c>
      <c r="H153" s="15" t="s">
        <v>173</v>
      </c>
    </row>
    <row r="154" spans="1:8" x14ac:dyDescent="0.2">
      <c r="A154" t="s">
        <v>21</v>
      </c>
      <c r="B154" t="s">
        <v>153</v>
      </c>
      <c r="C154" s="15" t="s">
        <v>162</v>
      </c>
      <c r="D154" s="32">
        <v>107.73333333333332</v>
      </c>
      <c r="E154" s="32">
        <v>0</v>
      </c>
      <c r="F154" s="32">
        <v>50040</v>
      </c>
      <c r="G154" s="32">
        <v>0</v>
      </c>
      <c r="H154" s="15" t="s">
        <v>173</v>
      </c>
    </row>
    <row r="155" spans="1:8" x14ac:dyDescent="0.2">
      <c r="A155" t="s">
        <v>97</v>
      </c>
      <c r="B155" t="s">
        <v>153</v>
      </c>
      <c r="C155" s="15" t="s">
        <v>162</v>
      </c>
      <c r="D155" s="32">
        <v>111.08333333333334</v>
      </c>
      <c r="E155" s="32">
        <v>0</v>
      </c>
      <c r="F155" s="32">
        <v>55780</v>
      </c>
      <c r="G155" s="32">
        <v>0</v>
      </c>
      <c r="H155" s="15" t="s">
        <v>173</v>
      </c>
    </row>
    <row r="156" spans="1:8" x14ac:dyDescent="0.2">
      <c r="A156" t="s">
        <v>71</v>
      </c>
      <c r="B156" t="s">
        <v>153</v>
      </c>
      <c r="C156" s="15" t="s">
        <v>162</v>
      </c>
      <c r="D156" s="32">
        <v>284.73333333333341</v>
      </c>
      <c r="E156" s="32">
        <v>0</v>
      </c>
      <c r="F156" s="32">
        <v>143220</v>
      </c>
      <c r="G156" s="32">
        <v>0</v>
      </c>
      <c r="H156" s="15" t="s">
        <v>173</v>
      </c>
    </row>
    <row r="157" spans="1:8" x14ac:dyDescent="0.2">
      <c r="A157" t="s">
        <v>25</v>
      </c>
      <c r="B157" t="s">
        <v>150</v>
      </c>
      <c r="C157" s="15" t="s">
        <v>162</v>
      </c>
      <c r="D157" s="32">
        <v>46.61666666666666</v>
      </c>
      <c r="E157" s="32">
        <v>0</v>
      </c>
      <c r="F157" s="32">
        <v>0</v>
      </c>
      <c r="G157" s="32">
        <v>0</v>
      </c>
      <c r="H157" s="15" t="s">
        <v>173</v>
      </c>
    </row>
    <row r="158" spans="1:8" x14ac:dyDescent="0.2">
      <c r="A158" t="s">
        <v>107</v>
      </c>
      <c r="B158" t="s">
        <v>150</v>
      </c>
      <c r="C158" s="15" t="s">
        <v>162</v>
      </c>
      <c r="D158" s="32">
        <v>29.749999999999996</v>
      </c>
      <c r="E158" s="32">
        <v>0</v>
      </c>
      <c r="F158" s="32">
        <v>7425</v>
      </c>
      <c r="G158" s="32">
        <v>0</v>
      </c>
      <c r="H158" s="15" t="s">
        <v>173</v>
      </c>
    </row>
    <row r="159" spans="1:8" x14ac:dyDescent="0.2">
      <c r="A159" t="s">
        <v>174</v>
      </c>
      <c r="B159" t="s">
        <v>149</v>
      </c>
      <c r="C159" s="15" t="s">
        <v>162</v>
      </c>
      <c r="D159" s="32">
        <v>35.1</v>
      </c>
      <c r="E159" s="32">
        <v>0</v>
      </c>
      <c r="F159" s="32">
        <v>0</v>
      </c>
      <c r="G159" s="32">
        <v>0</v>
      </c>
      <c r="H159" s="15" t="s">
        <v>173</v>
      </c>
    </row>
    <row r="160" spans="1:8" x14ac:dyDescent="0.2">
      <c r="A160" t="s">
        <v>42</v>
      </c>
      <c r="B160" t="s">
        <v>149</v>
      </c>
      <c r="C160" s="15" t="s">
        <v>161</v>
      </c>
      <c r="D160" s="32">
        <v>25.083333333333336</v>
      </c>
      <c r="E160" s="32">
        <v>0</v>
      </c>
      <c r="F160" s="32">
        <v>0</v>
      </c>
      <c r="G160" s="32">
        <v>0</v>
      </c>
      <c r="H160" s="15" t="s">
        <v>180</v>
      </c>
    </row>
    <row r="161" spans="1:8" x14ac:dyDescent="0.2">
      <c r="A161" t="s">
        <v>4</v>
      </c>
      <c r="B161" t="s">
        <v>149</v>
      </c>
      <c r="C161" s="15" t="s">
        <v>161</v>
      </c>
      <c r="D161" s="32">
        <v>27.666666666666664</v>
      </c>
      <c r="E161" s="32">
        <v>0</v>
      </c>
      <c r="F161" s="32">
        <v>5779</v>
      </c>
      <c r="G161" s="32">
        <v>0</v>
      </c>
      <c r="H161" s="15" t="s">
        <v>180</v>
      </c>
    </row>
    <row r="162" spans="1:8" x14ac:dyDescent="0.2">
      <c r="A162" t="s">
        <v>2</v>
      </c>
      <c r="B162" t="s">
        <v>149</v>
      </c>
      <c r="C162" s="15" t="s">
        <v>161</v>
      </c>
      <c r="D162" s="32">
        <v>8.9499999999999993</v>
      </c>
      <c r="E162" s="32">
        <v>0</v>
      </c>
      <c r="F162" s="32">
        <v>6173</v>
      </c>
      <c r="G162" s="32">
        <v>0</v>
      </c>
      <c r="H162" s="15" t="s">
        <v>180</v>
      </c>
    </row>
    <row r="163" spans="1:8" x14ac:dyDescent="0.2">
      <c r="A163" t="s">
        <v>1</v>
      </c>
      <c r="B163" t="s">
        <v>149</v>
      </c>
      <c r="C163" s="15" t="s">
        <v>161</v>
      </c>
      <c r="D163" s="32">
        <v>24.966666666666669</v>
      </c>
      <c r="E163" s="32">
        <v>0</v>
      </c>
      <c r="F163" s="32">
        <v>8860</v>
      </c>
      <c r="G163" s="32">
        <v>0</v>
      </c>
      <c r="H163" s="15" t="s">
        <v>180</v>
      </c>
    </row>
    <row r="164" spans="1:8" x14ac:dyDescent="0.2">
      <c r="A164" t="s">
        <v>27</v>
      </c>
      <c r="B164" t="s">
        <v>149</v>
      </c>
      <c r="C164" s="15" t="s">
        <v>161</v>
      </c>
      <c r="D164" s="32">
        <v>323.43333333333339</v>
      </c>
      <c r="E164" s="32">
        <v>0</v>
      </c>
      <c r="F164" s="32">
        <v>0</v>
      </c>
      <c r="G164" s="32">
        <v>0</v>
      </c>
      <c r="H164" s="15" t="s">
        <v>180</v>
      </c>
    </row>
    <row r="165" spans="1:8" x14ac:dyDescent="0.2">
      <c r="A165" t="s">
        <v>23</v>
      </c>
      <c r="B165" t="s">
        <v>149</v>
      </c>
      <c r="C165" s="15" t="s">
        <v>161</v>
      </c>
      <c r="D165" s="32">
        <v>170.55</v>
      </c>
      <c r="E165" s="32">
        <v>0</v>
      </c>
      <c r="F165" s="32">
        <v>0</v>
      </c>
      <c r="G165" s="32">
        <v>0</v>
      </c>
      <c r="H165" s="15" t="s">
        <v>180</v>
      </c>
    </row>
    <row r="166" spans="1:8" x14ac:dyDescent="0.2">
      <c r="A166" t="s">
        <v>182</v>
      </c>
      <c r="B166" t="s">
        <v>149</v>
      </c>
      <c r="C166" s="15" t="s">
        <v>161</v>
      </c>
      <c r="D166" s="32">
        <v>7.8333333333333339</v>
      </c>
      <c r="E166" s="32">
        <v>0</v>
      </c>
      <c r="F166" s="32">
        <v>0</v>
      </c>
      <c r="G166" s="32">
        <v>0</v>
      </c>
      <c r="H166" s="15" t="s">
        <v>180</v>
      </c>
    </row>
    <row r="167" spans="1:8" x14ac:dyDescent="0.2">
      <c r="A167" t="s">
        <v>3</v>
      </c>
      <c r="B167" t="s">
        <v>149</v>
      </c>
      <c r="C167" s="15" t="s">
        <v>161</v>
      </c>
      <c r="D167" s="32">
        <v>11.4</v>
      </c>
      <c r="E167" s="32">
        <v>0</v>
      </c>
      <c r="F167" s="32">
        <v>8060.6</v>
      </c>
      <c r="G167" s="32">
        <v>0</v>
      </c>
      <c r="H167" s="15" t="s">
        <v>180</v>
      </c>
    </row>
    <row r="168" spans="1:8" x14ac:dyDescent="0.2">
      <c r="A168" t="s">
        <v>6</v>
      </c>
      <c r="B168" t="s">
        <v>149</v>
      </c>
      <c r="C168" s="15" t="s">
        <v>161</v>
      </c>
      <c r="D168" s="32">
        <v>174</v>
      </c>
      <c r="E168" s="32">
        <v>0</v>
      </c>
      <c r="F168" s="32">
        <v>0</v>
      </c>
      <c r="G168" s="32">
        <v>0</v>
      </c>
      <c r="H168" s="15" t="s">
        <v>180</v>
      </c>
    </row>
    <row r="169" spans="1:8" x14ac:dyDescent="0.2">
      <c r="A169" t="s">
        <v>183</v>
      </c>
      <c r="B169" t="s">
        <v>150</v>
      </c>
      <c r="C169" s="15" t="s">
        <v>162</v>
      </c>
      <c r="D169" s="32">
        <v>6.0833333333333339</v>
      </c>
      <c r="E169" s="32">
        <v>0</v>
      </c>
      <c r="F169" s="32">
        <v>0</v>
      </c>
      <c r="G169" s="32">
        <v>0</v>
      </c>
      <c r="H169" s="15" t="s">
        <v>180</v>
      </c>
    </row>
    <row r="170" spans="1:8" x14ac:dyDescent="0.2">
      <c r="A170" t="s">
        <v>42</v>
      </c>
      <c r="B170" t="s">
        <v>149</v>
      </c>
      <c r="C170" s="15" t="s">
        <v>162</v>
      </c>
      <c r="D170" s="32">
        <v>24.666666666666668</v>
      </c>
      <c r="E170" s="32">
        <v>0</v>
      </c>
      <c r="F170" s="32">
        <v>0</v>
      </c>
      <c r="G170" s="32">
        <v>0</v>
      </c>
      <c r="H170" s="15" t="s">
        <v>180</v>
      </c>
    </row>
    <row r="171" spans="1:8" x14ac:dyDescent="0.2">
      <c r="A171" t="s">
        <v>2</v>
      </c>
      <c r="B171" t="s">
        <v>149</v>
      </c>
      <c r="C171" s="15" t="s">
        <v>162</v>
      </c>
      <c r="D171" s="32">
        <v>382.40000000000003</v>
      </c>
      <c r="E171" s="32">
        <v>0</v>
      </c>
      <c r="F171" s="32">
        <v>143507</v>
      </c>
      <c r="G171" s="32">
        <v>0</v>
      </c>
      <c r="H171" s="15" t="s">
        <v>180</v>
      </c>
    </row>
    <row r="172" spans="1:8" x14ac:dyDescent="0.2">
      <c r="A172" t="s">
        <v>1</v>
      </c>
      <c r="B172" t="s">
        <v>149</v>
      </c>
      <c r="C172" s="15" t="s">
        <v>162</v>
      </c>
      <c r="D172" s="32">
        <v>12.833333333333332</v>
      </c>
      <c r="E172" s="32">
        <v>0</v>
      </c>
      <c r="F172" s="32">
        <v>4947.7685000000001</v>
      </c>
      <c r="G172" s="32">
        <v>0</v>
      </c>
      <c r="H172" s="15" t="s">
        <v>180</v>
      </c>
    </row>
    <row r="173" spans="1:8" x14ac:dyDescent="0.2">
      <c r="A173" t="s">
        <v>27</v>
      </c>
      <c r="B173" t="s">
        <v>149</v>
      </c>
      <c r="C173" s="15" t="s">
        <v>162</v>
      </c>
      <c r="D173" s="32">
        <v>82.516666666666666</v>
      </c>
      <c r="E173" s="32">
        <v>0</v>
      </c>
      <c r="F173" s="32">
        <v>0</v>
      </c>
      <c r="G173" s="32">
        <v>0</v>
      </c>
      <c r="H173" s="15" t="s">
        <v>180</v>
      </c>
    </row>
    <row r="174" spans="1:8" x14ac:dyDescent="0.2">
      <c r="A174" t="s">
        <v>184</v>
      </c>
      <c r="B174" t="s">
        <v>151</v>
      </c>
      <c r="C174" s="15" t="s">
        <v>162</v>
      </c>
      <c r="D174" s="32">
        <v>465.66666666666714</v>
      </c>
      <c r="E174" s="32">
        <v>0</v>
      </c>
      <c r="F174" s="32">
        <v>304845</v>
      </c>
      <c r="G174" s="32">
        <v>0</v>
      </c>
      <c r="H174" s="15" t="s">
        <v>180</v>
      </c>
    </row>
    <row r="175" spans="1:8" x14ac:dyDescent="0.2">
      <c r="A175" t="s">
        <v>10</v>
      </c>
      <c r="B175" t="s">
        <v>150</v>
      </c>
      <c r="C175" s="15" t="s">
        <v>162</v>
      </c>
      <c r="D175" s="32">
        <v>56.833333333333329</v>
      </c>
      <c r="E175" s="32">
        <v>0</v>
      </c>
      <c r="F175" s="32">
        <v>344173</v>
      </c>
      <c r="G175" s="32">
        <v>0</v>
      </c>
      <c r="H175" s="15" t="s">
        <v>180</v>
      </c>
    </row>
    <row r="176" spans="1:8" x14ac:dyDescent="0.2">
      <c r="A176" t="s">
        <v>52</v>
      </c>
      <c r="B176" t="s">
        <v>150</v>
      </c>
      <c r="C176" s="15" t="s">
        <v>162</v>
      </c>
      <c r="D176" s="32">
        <v>11</v>
      </c>
      <c r="E176" s="32">
        <v>0</v>
      </c>
      <c r="F176" s="32">
        <v>33018</v>
      </c>
      <c r="G176" s="32">
        <v>0</v>
      </c>
      <c r="H176" s="15" t="s">
        <v>180</v>
      </c>
    </row>
    <row r="177" spans="1:8" x14ac:dyDescent="0.2">
      <c r="A177" t="s">
        <v>34</v>
      </c>
      <c r="B177" t="s">
        <v>152</v>
      </c>
      <c r="C177" s="15" t="s">
        <v>162</v>
      </c>
      <c r="D177" s="32">
        <v>42</v>
      </c>
      <c r="E177" s="32">
        <v>0</v>
      </c>
      <c r="F177" s="32">
        <v>13365</v>
      </c>
      <c r="G177" s="32">
        <v>0</v>
      </c>
      <c r="H177" s="15" t="s">
        <v>180</v>
      </c>
    </row>
    <row r="178" spans="1:8" x14ac:dyDescent="0.2">
      <c r="A178" t="s">
        <v>163</v>
      </c>
      <c r="B178" t="s">
        <v>150</v>
      </c>
      <c r="C178" s="15" t="s">
        <v>162</v>
      </c>
      <c r="D178" s="32">
        <v>4</v>
      </c>
      <c r="E178" s="32">
        <v>0</v>
      </c>
      <c r="F178" s="32">
        <v>0</v>
      </c>
      <c r="G178" s="32">
        <v>0</v>
      </c>
      <c r="H178" s="15" t="s">
        <v>180</v>
      </c>
    </row>
    <row r="179" spans="1:8" x14ac:dyDescent="0.2">
      <c r="A179" t="s">
        <v>45</v>
      </c>
      <c r="B179" t="s">
        <v>151</v>
      </c>
      <c r="C179" s="15" t="s">
        <v>162</v>
      </c>
      <c r="D179" s="32">
        <v>93.800000000000011</v>
      </c>
      <c r="E179" s="32">
        <v>0</v>
      </c>
      <c r="F179" s="32">
        <v>61320</v>
      </c>
      <c r="G179" s="32">
        <v>0</v>
      </c>
      <c r="H179" s="15" t="s">
        <v>180</v>
      </c>
    </row>
    <row r="180" spans="1:8" x14ac:dyDescent="0.2">
      <c r="A180" t="s">
        <v>77</v>
      </c>
      <c r="B180" t="s">
        <v>151</v>
      </c>
      <c r="C180" s="15" t="s">
        <v>162</v>
      </c>
      <c r="D180" s="32">
        <v>13.799999999999999</v>
      </c>
      <c r="E180" s="32">
        <v>0</v>
      </c>
      <c r="F180" s="32">
        <v>0</v>
      </c>
      <c r="G180" s="32">
        <v>0</v>
      </c>
      <c r="H180" s="15" t="s">
        <v>180</v>
      </c>
    </row>
    <row r="181" spans="1:8" x14ac:dyDescent="0.2">
      <c r="A181" t="s">
        <v>93</v>
      </c>
      <c r="B181" t="s">
        <v>150</v>
      </c>
      <c r="C181" s="15" t="s">
        <v>162</v>
      </c>
      <c r="D181" s="32">
        <v>24</v>
      </c>
      <c r="E181" s="32">
        <v>0</v>
      </c>
      <c r="F181" s="32">
        <v>0</v>
      </c>
      <c r="G181" s="32">
        <v>0</v>
      </c>
      <c r="H181" s="15" t="s">
        <v>180</v>
      </c>
    </row>
    <row r="182" spans="1:8" x14ac:dyDescent="0.2">
      <c r="A182" t="s">
        <v>159</v>
      </c>
      <c r="B182" t="s">
        <v>150</v>
      </c>
      <c r="C182" s="15" t="s">
        <v>162</v>
      </c>
      <c r="D182" s="32">
        <v>11.25</v>
      </c>
      <c r="E182" s="32">
        <v>0</v>
      </c>
      <c r="F182" s="32">
        <v>0</v>
      </c>
      <c r="G182" s="32">
        <v>0</v>
      </c>
      <c r="H182" s="15" t="s">
        <v>180</v>
      </c>
    </row>
    <row r="183" spans="1:8" x14ac:dyDescent="0.2">
      <c r="A183" t="s">
        <v>13</v>
      </c>
      <c r="B183" t="s">
        <v>150</v>
      </c>
      <c r="C183" s="15" t="s">
        <v>162</v>
      </c>
      <c r="D183" s="32">
        <v>250.18333333333328</v>
      </c>
      <c r="E183" s="32">
        <v>0</v>
      </c>
      <c r="F183" s="32">
        <v>229460</v>
      </c>
      <c r="G183" s="32">
        <v>0</v>
      </c>
      <c r="H183" s="15" t="s">
        <v>180</v>
      </c>
    </row>
    <row r="184" spans="1:8" x14ac:dyDescent="0.2">
      <c r="A184" t="s">
        <v>24</v>
      </c>
      <c r="B184" t="s">
        <v>150</v>
      </c>
      <c r="C184" s="15" t="s">
        <v>162</v>
      </c>
      <c r="D184" s="32">
        <v>152.5</v>
      </c>
      <c r="E184" s="32">
        <v>0</v>
      </c>
      <c r="F184" s="32">
        <v>0</v>
      </c>
      <c r="G184" s="32">
        <v>0</v>
      </c>
      <c r="H184" s="15" t="s">
        <v>180</v>
      </c>
    </row>
    <row r="185" spans="1:8" x14ac:dyDescent="0.2">
      <c r="A185" t="s">
        <v>3</v>
      </c>
      <c r="B185" t="s">
        <v>149</v>
      </c>
      <c r="C185" s="15" t="s">
        <v>162</v>
      </c>
      <c r="D185" s="32">
        <v>133.48333333333335</v>
      </c>
      <c r="E185" s="32">
        <v>0</v>
      </c>
      <c r="F185" s="32">
        <v>41246</v>
      </c>
      <c r="G185" s="32">
        <v>0</v>
      </c>
      <c r="H185" s="15" t="s">
        <v>180</v>
      </c>
    </row>
    <row r="186" spans="1:8" x14ac:dyDescent="0.2">
      <c r="A186" t="s">
        <v>47</v>
      </c>
      <c r="B186" t="s">
        <v>150</v>
      </c>
      <c r="C186" s="15" t="s">
        <v>162</v>
      </c>
      <c r="D186" s="32">
        <v>23.233333333333331</v>
      </c>
      <c r="E186" s="32">
        <v>0</v>
      </c>
      <c r="F186" s="32">
        <v>0</v>
      </c>
      <c r="G186" s="32">
        <v>0</v>
      </c>
      <c r="H186" s="15" t="s">
        <v>180</v>
      </c>
    </row>
    <row r="187" spans="1:8" x14ac:dyDescent="0.2">
      <c r="A187" t="s">
        <v>92</v>
      </c>
      <c r="B187" t="s">
        <v>150</v>
      </c>
      <c r="C187" s="15" t="s">
        <v>162</v>
      </c>
      <c r="D187" s="32">
        <v>2.7</v>
      </c>
      <c r="E187" s="32">
        <v>0</v>
      </c>
      <c r="F187" s="32">
        <v>0</v>
      </c>
      <c r="G187" s="32">
        <v>0</v>
      </c>
      <c r="H187" s="15" t="s">
        <v>180</v>
      </c>
    </row>
    <row r="188" spans="1:8" x14ac:dyDescent="0.2">
      <c r="A188" t="s">
        <v>160</v>
      </c>
      <c r="B188" t="s">
        <v>154</v>
      </c>
      <c r="C188" s="15" t="s">
        <v>162</v>
      </c>
      <c r="D188" s="32">
        <v>540</v>
      </c>
      <c r="E188" s="32">
        <v>0</v>
      </c>
      <c r="F188" s="32">
        <v>0</v>
      </c>
      <c r="G188" s="32">
        <v>0</v>
      </c>
      <c r="H188" s="15" t="s">
        <v>180</v>
      </c>
    </row>
    <row r="189" spans="1:8" x14ac:dyDescent="0.2">
      <c r="A189" t="s">
        <v>32</v>
      </c>
      <c r="B189" t="s">
        <v>152</v>
      </c>
      <c r="C189" s="15" t="s">
        <v>162</v>
      </c>
      <c r="D189" s="32">
        <v>6.25</v>
      </c>
      <c r="E189" s="32">
        <v>0</v>
      </c>
      <c r="F189" s="32">
        <v>4521</v>
      </c>
      <c r="G189" s="32">
        <v>0</v>
      </c>
      <c r="H189" s="15" t="s">
        <v>180</v>
      </c>
    </row>
    <row r="190" spans="1:8" x14ac:dyDescent="0.2">
      <c r="A190" t="s">
        <v>6</v>
      </c>
      <c r="B190" t="s">
        <v>149</v>
      </c>
      <c r="C190" s="15" t="s">
        <v>162</v>
      </c>
      <c r="D190" s="32">
        <v>84</v>
      </c>
      <c r="E190" s="32">
        <v>0</v>
      </c>
      <c r="F190" s="32">
        <v>0</v>
      </c>
      <c r="G190" s="32">
        <v>0</v>
      </c>
      <c r="H190" s="15" t="s">
        <v>180</v>
      </c>
    </row>
    <row r="191" spans="1:8" x14ac:dyDescent="0.2">
      <c r="A191" t="s">
        <v>46</v>
      </c>
      <c r="B191" t="s">
        <v>150</v>
      </c>
      <c r="C191" s="15" t="s">
        <v>162</v>
      </c>
      <c r="D191" s="32">
        <v>3.0666666666666669</v>
      </c>
      <c r="E191" s="32">
        <v>0</v>
      </c>
      <c r="F191" s="32">
        <v>2920</v>
      </c>
      <c r="G191" s="32">
        <v>0</v>
      </c>
      <c r="H191" s="15" t="s">
        <v>180</v>
      </c>
    </row>
    <row r="192" spans="1:8" x14ac:dyDescent="0.2">
      <c r="A192" t="s">
        <v>38</v>
      </c>
      <c r="B192" t="s">
        <v>150</v>
      </c>
      <c r="C192" s="15" t="s">
        <v>162</v>
      </c>
      <c r="D192" s="32">
        <v>37.083333333333336</v>
      </c>
      <c r="E192" s="32">
        <v>0</v>
      </c>
      <c r="F192" s="32">
        <v>18275</v>
      </c>
      <c r="G192" s="32">
        <v>0</v>
      </c>
      <c r="H192" s="15" t="s">
        <v>180</v>
      </c>
    </row>
    <row r="193" spans="1:8" x14ac:dyDescent="0.2">
      <c r="A193" t="s">
        <v>177</v>
      </c>
      <c r="B193" t="s">
        <v>153</v>
      </c>
      <c r="C193" s="15" t="s">
        <v>162</v>
      </c>
      <c r="D193" s="32">
        <v>89</v>
      </c>
      <c r="E193" s="32">
        <v>0</v>
      </c>
      <c r="F193" s="32">
        <v>1791</v>
      </c>
      <c r="G193" s="32">
        <v>0</v>
      </c>
      <c r="H193" s="15" t="s">
        <v>180</v>
      </c>
    </row>
    <row r="194" spans="1:8" x14ac:dyDescent="0.2">
      <c r="A194" t="s">
        <v>185</v>
      </c>
      <c r="B194" t="s">
        <v>151</v>
      </c>
      <c r="C194" s="15" t="s">
        <v>162</v>
      </c>
      <c r="D194" s="32">
        <v>187.05000000000004</v>
      </c>
      <c r="E194" s="32">
        <v>0</v>
      </c>
      <c r="F194" s="32">
        <v>160365</v>
      </c>
      <c r="G194" s="32">
        <v>0</v>
      </c>
      <c r="H194" s="15" t="s">
        <v>180</v>
      </c>
    </row>
    <row r="195" spans="1:8" x14ac:dyDescent="0.2">
      <c r="A195" t="s">
        <v>113</v>
      </c>
      <c r="B195" t="s">
        <v>150</v>
      </c>
      <c r="C195" s="15" t="s">
        <v>162</v>
      </c>
      <c r="D195" s="32">
        <v>8.3833333333333329</v>
      </c>
      <c r="E195" s="32">
        <v>0</v>
      </c>
      <c r="F195" s="32">
        <v>0</v>
      </c>
      <c r="G195" s="32">
        <v>0</v>
      </c>
      <c r="H195" s="15" t="s">
        <v>180</v>
      </c>
    </row>
    <row r="196" spans="1:8" x14ac:dyDescent="0.2">
      <c r="A196" t="s">
        <v>36</v>
      </c>
      <c r="B196" t="s">
        <v>152</v>
      </c>
      <c r="C196" s="15" t="s">
        <v>162</v>
      </c>
      <c r="D196" s="32">
        <v>10</v>
      </c>
      <c r="E196" s="32">
        <v>0</v>
      </c>
      <c r="F196" s="32">
        <v>7327</v>
      </c>
      <c r="G196" s="32">
        <v>0</v>
      </c>
      <c r="H196" s="15" t="s">
        <v>180</v>
      </c>
    </row>
    <row r="197" spans="1:8" x14ac:dyDescent="0.2">
      <c r="A197" t="s">
        <v>80</v>
      </c>
      <c r="B197" t="s">
        <v>150</v>
      </c>
      <c r="C197" s="15" t="s">
        <v>162</v>
      </c>
      <c r="D197" s="32">
        <v>130.40000000000003</v>
      </c>
      <c r="E197" s="32">
        <v>0</v>
      </c>
      <c r="F197" s="32">
        <v>53225</v>
      </c>
      <c r="G197" s="32">
        <v>0</v>
      </c>
      <c r="H197" s="15" t="s">
        <v>180</v>
      </c>
    </row>
    <row r="198" spans="1:8" x14ac:dyDescent="0.2">
      <c r="A198" t="s">
        <v>178</v>
      </c>
      <c r="B198" t="s">
        <v>153</v>
      </c>
      <c r="C198" s="15" t="s">
        <v>162</v>
      </c>
      <c r="D198" s="32">
        <v>1360.7166666666667</v>
      </c>
      <c r="E198" s="32">
        <v>0</v>
      </c>
      <c r="F198" s="32">
        <v>718600</v>
      </c>
      <c r="G198" s="32">
        <v>0</v>
      </c>
      <c r="H198" s="15" t="s">
        <v>180</v>
      </c>
    </row>
    <row r="199" spans="1:8" x14ac:dyDescent="0.2">
      <c r="A199" t="s">
        <v>97</v>
      </c>
      <c r="B199" t="s">
        <v>153</v>
      </c>
      <c r="C199" s="15" t="s">
        <v>162</v>
      </c>
      <c r="D199" s="32">
        <v>65.333333333333329</v>
      </c>
      <c r="E199" s="32">
        <v>0</v>
      </c>
      <c r="F199" s="32">
        <v>34260</v>
      </c>
      <c r="G199" s="32">
        <v>0</v>
      </c>
      <c r="H199" s="15" t="s">
        <v>180</v>
      </c>
    </row>
    <row r="200" spans="1:8" x14ac:dyDescent="0.2">
      <c r="A200" t="s">
        <v>71</v>
      </c>
      <c r="B200" t="s">
        <v>153</v>
      </c>
      <c r="C200" s="15" t="s">
        <v>162</v>
      </c>
      <c r="D200" s="32">
        <v>32.15</v>
      </c>
      <c r="E200" s="32">
        <v>0</v>
      </c>
      <c r="F200" s="32">
        <v>17300</v>
      </c>
      <c r="G200" s="32">
        <v>0</v>
      </c>
      <c r="H200" s="15" t="s">
        <v>180</v>
      </c>
    </row>
    <row r="201" spans="1:8" x14ac:dyDescent="0.2">
      <c r="A201" t="s">
        <v>25</v>
      </c>
      <c r="B201" t="s">
        <v>150</v>
      </c>
      <c r="C201" s="15" t="s">
        <v>162</v>
      </c>
      <c r="D201" s="32">
        <v>34.25</v>
      </c>
      <c r="E201" s="32">
        <v>0</v>
      </c>
      <c r="F201" s="32">
        <v>0</v>
      </c>
      <c r="G201" s="32">
        <v>0</v>
      </c>
      <c r="H201" s="15" t="s">
        <v>180</v>
      </c>
    </row>
    <row r="202" spans="1:8" x14ac:dyDescent="0.2">
      <c r="A202" t="s">
        <v>107</v>
      </c>
      <c r="B202" t="s">
        <v>150</v>
      </c>
      <c r="C202" s="15" t="s">
        <v>162</v>
      </c>
      <c r="D202" s="32">
        <v>3.8333333333333335</v>
      </c>
      <c r="E202" s="32">
        <v>0</v>
      </c>
      <c r="F202" s="32">
        <v>450</v>
      </c>
      <c r="G202" s="32">
        <v>0</v>
      </c>
      <c r="H202" s="15" t="s">
        <v>180</v>
      </c>
    </row>
    <row r="203" spans="1:8" x14ac:dyDescent="0.2">
      <c r="A203" t="s">
        <v>181</v>
      </c>
      <c r="B203" t="s">
        <v>150</v>
      </c>
      <c r="C203" s="15" t="s">
        <v>162</v>
      </c>
      <c r="D203" s="32">
        <v>30.4</v>
      </c>
      <c r="E203" s="32">
        <v>0</v>
      </c>
      <c r="F203" s="32">
        <v>0</v>
      </c>
      <c r="G203" s="32">
        <v>0</v>
      </c>
      <c r="H203" s="15" t="s">
        <v>180</v>
      </c>
    </row>
    <row r="204" spans="1:8" x14ac:dyDescent="0.2">
      <c r="A204" t="s">
        <v>174</v>
      </c>
      <c r="B204" t="s">
        <v>149</v>
      </c>
      <c r="C204" s="15" t="s">
        <v>162</v>
      </c>
      <c r="D204" s="32">
        <v>51.70000000000001</v>
      </c>
      <c r="E204" s="32">
        <v>0</v>
      </c>
      <c r="F204" s="32">
        <v>0</v>
      </c>
      <c r="G204" s="32">
        <v>0</v>
      </c>
      <c r="H204" s="15" t="s">
        <v>180</v>
      </c>
    </row>
    <row r="205" spans="1:8" x14ac:dyDescent="0.2">
      <c r="A205" t="s">
        <v>8</v>
      </c>
      <c r="B205" t="s">
        <v>150</v>
      </c>
      <c r="C205" s="15" t="s">
        <v>162</v>
      </c>
      <c r="D205" s="32">
        <v>5.416666666666667</v>
      </c>
      <c r="E205" s="32">
        <v>0</v>
      </c>
      <c r="F205" s="32">
        <v>5569</v>
      </c>
      <c r="G205" s="32">
        <v>0</v>
      </c>
      <c r="H205" s="15" t="s">
        <v>186</v>
      </c>
    </row>
    <row r="206" spans="1:8" x14ac:dyDescent="0.2">
      <c r="A206" t="s">
        <v>42</v>
      </c>
      <c r="B206" t="s">
        <v>149</v>
      </c>
      <c r="C206" s="15" t="s">
        <v>161</v>
      </c>
      <c r="D206" s="32">
        <v>41.750000000000007</v>
      </c>
      <c r="E206" s="32">
        <v>0</v>
      </c>
      <c r="F206" s="32">
        <v>0</v>
      </c>
      <c r="G206" s="32">
        <v>0</v>
      </c>
      <c r="H206" s="15" t="s">
        <v>186</v>
      </c>
    </row>
    <row r="207" spans="1:8" x14ac:dyDescent="0.2">
      <c r="A207" t="s">
        <v>4</v>
      </c>
      <c r="B207" t="s">
        <v>149</v>
      </c>
      <c r="C207" s="15" t="s">
        <v>161</v>
      </c>
      <c r="D207" s="32">
        <v>22</v>
      </c>
      <c r="E207" s="32">
        <v>0</v>
      </c>
      <c r="F207" s="32">
        <v>2852</v>
      </c>
      <c r="G207" s="32">
        <v>0</v>
      </c>
      <c r="H207" s="15" t="s">
        <v>186</v>
      </c>
    </row>
    <row r="208" spans="1:8" x14ac:dyDescent="0.2">
      <c r="A208" t="s">
        <v>2</v>
      </c>
      <c r="B208" t="s">
        <v>149</v>
      </c>
      <c r="C208" s="15" t="s">
        <v>161</v>
      </c>
      <c r="D208" s="32">
        <v>38.216666666666669</v>
      </c>
      <c r="E208" s="32">
        <v>0</v>
      </c>
      <c r="F208" s="32">
        <v>29480</v>
      </c>
      <c r="G208" s="32">
        <v>0</v>
      </c>
      <c r="H208" s="15" t="s">
        <v>186</v>
      </c>
    </row>
    <row r="209" spans="1:8" x14ac:dyDescent="0.2">
      <c r="A209" t="s">
        <v>1</v>
      </c>
      <c r="B209" t="s">
        <v>149</v>
      </c>
      <c r="C209" s="15" t="s">
        <v>161</v>
      </c>
      <c r="D209" s="32">
        <v>13.833333333333334</v>
      </c>
      <c r="E209" s="32">
        <v>0</v>
      </c>
      <c r="F209" s="32">
        <v>4395.1005999999998</v>
      </c>
      <c r="G209" s="32">
        <v>0</v>
      </c>
      <c r="H209" s="15" t="s">
        <v>186</v>
      </c>
    </row>
    <row r="210" spans="1:8" x14ac:dyDescent="0.2">
      <c r="A210" t="s">
        <v>27</v>
      </c>
      <c r="B210" t="s">
        <v>149</v>
      </c>
      <c r="C210" s="15" t="s">
        <v>161</v>
      </c>
      <c r="D210" s="32">
        <v>479.26666666666677</v>
      </c>
      <c r="E210" s="32">
        <v>0</v>
      </c>
      <c r="F210" s="32">
        <v>0</v>
      </c>
      <c r="G210" s="32">
        <v>0</v>
      </c>
      <c r="H210" s="15" t="s">
        <v>186</v>
      </c>
    </row>
    <row r="211" spans="1:8" x14ac:dyDescent="0.2">
      <c r="A211" t="s">
        <v>23</v>
      </c>
      <c r="B211" t="s">
        <v>149</v>
      </c>
      <c r="C211" s="15" t="s">
        <v>161</v>
      </c>
      <c r="D211" s="32">
        <v>109.21666666666667</v>
      </c>
      <c r="E211" s="32">
        <v>0</v>
      </c>
      <c r="F211" s="32">
        <v>0</v>
      </c>
      <c r="G211" s="32">
        <v>0</v>
      </c>
      <c r="H211" s="15" t="s">
        <v>186</v>
      </c>
    </row>
    <row r="212" spans="1:8" x14ac:dyDescent="0.2">
      <c r="A212" t="s">
        <v>182</v>
      </c>
      <c r="B212" t="s">
        <v>149</v>
      </c>
      <c r="C212" s="15" t="s">
        <v>161</v>
      </c>
      <c r="D212" s="32">
        <v>16.25</v>
      </c>
      <c r="E212" s="32">
        <v>0</v>
      </c>
      <c r="F212" s="32">
        <v>0</v>
      </c>
      <c r="G212" s="32">
        <v>0</v>
      </c>
      <c r="H212" s="15" t="s">
        <v>186</v>
      </c>
    </row>
    <row r="213" spans="1:8" x14ac:dyDescent="0.2">
      <c r="A213" t="s">
        <v>28</v>
      </c>
      <c r="B213" t="s">
        <v>149</v>
      </c>
      <c r="C213" s="15" t="s">
        <v>161</v>
      </c>
      <c r="D213" s="32">
        <v>2.4166666666666665</v>
      </c>
      <c r="E213" s="32">
        <v>0</v>
      </c>
      <c r="F213" s="32">
        <v>0</v>
      </c>
      <c r="G213" s="32">
        <v>0</v>
      </c>
      <c r="H213" s="15" t="s">
        <v>186</v>
      </c>
    </row>
    <row r="214" spans="1:8" x14ac:dyDescent="0.2">
      <c r="A214" t="s">
        <v>3</v>
      </c>
      <c r="B214" t="s">
        <v>149</v>
      </c>
      <c r="C214" s="15" t="s">
        <v>161</v>
      </c>
      <c r="D214" s="32">
        <v>8.5166666666666657</v>
      </c>
      <c r="E214" s="32">
        <v>0</v>
      </c>
      <c r="F214" s="32">
        <v>5084</v>
      </c>
      <c r="G214" s="32">
        <v>0</v>
      </c>
      <c r="H214" s="15" t="s">
        <v>186</v>
      </c>
    </row>
    <row r="215" spans="1:8" x14ac:dyDescent="0.2">
      <c r="A215" t="s">
        <v>6</v>
      </c>
      <c r="B215" t="s">
        <v>149</v>
      </c>
      <c r="C215" s="15" t="s">
        <v>161</v>
      </c>
      <c r="D215" s="32">
        <v>91.5</v>
      </c>
      <c r="E215" s="32">
        <v>0</v>
      </c>
      <c r="F215" s="32">
        <v>0</v>
      </c>
      <c r="G215" s="32">
        <v>0</v>
      </c>
      <c r="H215" s="15" t="s">
        <v>186</v>
      </c>
    </row>
    <row r="216" spans="1:8" x14ac:dyDescent="0.2">
      <c r="A216" t="s">
        <v>174</v>
      </c>
      <c r="B216" t="s">
        <v>149</v>
      </c>
      <c r="C216" s="15" t="s">
        <v>161</v>
      </c>
      <c r="D216" s="32">
        <v>3.1</v>
      </c>
      <c r="E216" s="32">
        <v>0</v>
      </c>
      <c r="F216" s="32">
        <v>0</v>
      </c>
      <c r="G216" s="32">
        <v>0</v>
      </c>
      <c r="H216" s="15" t="s">
        <v>186</v>
      </c>
    </row>
    <row r="217" spans="1:8" x14ac:dyDescent="0.2">
      <c r="A217" t="s">
        <v>183</v>
      </c>
      <c r="B217" t="s">
        <v>150</v>
      </c>
      <c r="C217" s="15" t="s">
        <v>162</v>
      </c>
      <c r="D217" s="32">
        <v>15.25</v>
      </c>
      <c r="E217" s="32">
        <v>0</v>
      </c>
      <c r="F217" s="32">
        <v>0</v>
      </c>
      <c r="G217" s="32">
        <v>0</v>
      </c>
      <c r="H217" s="15" t="s">
        <v>186</v>
      </c>
    </row>
    <row r="218" spans="1:8" x14ac:dyDescent="0.2">
      <c r="A218" t="s">
        <v>42</v>
      </c>
      <c r="B218" t="s">
        <v>149</v>
      </c>
      <c r="C218" s="15" t="s">
        <v>162</v>
      </c>
      <c r="D218" s="32">
        <v>6.333333333333333</v>
      </c>
      <c r="E218" s="32">
        <v>0</v>
      </c>
      <c r="F218" s="32">
        <v>0</v>
      </c>
      <c r="G218" s="32">
        <v>0</v>
      </c>
      <c r="H218" s="15" t="s">
        <v>186</v>
      </c>
    </row>
    <row r="219" spans="1:8" x14ac:dyDescent="0.2">
      <c r="A219" t="s">
        <v>2</v>
      </c>
      <c r="B219" t="s">
        <v>149</v>
      </c>
      <c r="C219" s="15" t="s">
        <v>162</v>
      </c>
      <c r="D219" s="32">
        <v>96.466666666666654</v>
      </c>
      <c r="E219" s="32">
        <v>0</v>
      </c>
      <c r="F219" s="32">
        <v>48321</v>
      </c>
      <c r="G219" s="32">
        <v>0</v>
      </c>
      <c r="H219" s="15" t="s">
        <v>186</v>
      </c>
    </row>
    <row r="220" spans="1:8" x14ac:dyDescent="0.2">
      <c r="A220" t="s">
        <v>1</v>
      </c>
      <c r="B220" t="s">
        <v>149</v>
      </c>
      <c r="C220" s="15" t="s">
        <v>162</v>
      </c>
      <c r="D220" s="32">
        <v>3</v>
      </c>
      <c r="E220" s="32">
        <v>0</v>
      </c>
      <c r="F220" s="32">
        <v>1451.0419999999999</v>
      </c>
      <c r="G220" s="32">
        <v>0</v>
      </c>
      <c r="H220" s="15" t="s">
        <v>186</v>
      </c>
    </row>
    <row r="221" spans="1:8" x14ac:dyDescent="0.2">
      <c r="A221" t="s">
        <v>27</v>
      </c>
      <c r="B221" t="s">
        <v>149</v>
      </c>
      <c r="C221" s="15" t="s">
        <v>162</v>
      </c>
      <c r="D221" s="32">
        <v>162.01666666666671</v>
      </c>
      <c r="E221" s="32">
        <v>0</v>
      </c>
      <c r="F221" s="32">
        <v>0</v>
      </c>
      <c r="G221" s="32">
        <v>0</v>
      </c>
      <c r="H221" s="15" t="s">
        <v>186</v>
      </c>
    </row>
    <row r="222" spans="1:8" x14ac:dyDescent="0.2">
      <c r="A222" t="s">
        <v>182</v>
      </c>
      <c r="B222" t="s">
        <v>149</v>
      </c>
      <c r="C222" s="15" t="s">
        <v>162</v>
      </c>
      <c r="D222" s="32">
        <v>24.75</v>
      </c>
      <c r="E222" s="32">
        <v>0</v>
      </c>
      <c r="F222" s="32">
        <v>0</v>
      </c>
      <c r="G222" s="32">
        <v>0</v>
      </c>
      <c r="H222" s="15" t="s">
        <v>186</v>
      </c>
    </row>
    <row r="223" spans="1:8" x14ac:dyDescent="0.2">
      <c r="A223" t="s">
        <v>184</v>
      </c>
      <c r="B223" t="s">
        <v>151</v>
      </c>
      <c r="C223" s="15" t="s">
        <v>162</v>
      </c>
      <c r="D223" s="32">
        <v>399.74999999999994</v>
      </c>
      <c r="E223" s="32">
        <v>0</v>
      </c>
      <c r="F223" s="32">
        <v>234162</v>
      </c>
      <c r="G223" s="32">
        <v>0</v>
      </c>
      <c r="H223" s="15" t="s">
        <v>186</v>
      </c>
    </row>
    <row r="224" spans="1:8" x14ac:dyDescent="0.2">
      <c r="A224" t="s">
        <v>10</v>
      </c>
      <c r="B224" t="s">
        <v>150</v>
      </c>
      <c r="C224" s="15" t="s">
        <v>162</v>
      </c>
      <c r="D224" s="32">
        <v>71.166666666666657</v>
      </c>
      <c r="E224" s="32">
        <v>0</v>
      </c>
      <c r="F224" s="32">
        <v>373346</v>
      </c>
      <c r="G224" s="32">
        <v>0</v>
      </c>
      <c r="H224" s="15" t="s">
        <v>186</v>
      </c>
    </row>
    <row r="225" spans="1:8" x14ac:dyDescent="0.2">
      <c r="A225" t="s">
        <v>8</v>
      </c>
      <c r="B225" t="s">
        <v>150</v>
      </c>
      <c r="C225" s="15" t="s">
        <v>162</v>
      </c>
      <c r="D225" s="32">
        <v>2.6666666666666665</v>
      </c>
      <c r="E225" s="32">
        <v>0</v>
      </c>
      <c r="F225" s="32">
        <v>912</v>
      </c>
      <c r="G225" s="32">
        <v>0</v>
      </c>
      <c r="H225" s="15" t="s">
        <v>186</v>
      </c>
    </row>
    <row r="226" spans="1:8" x14ac:dyDescent="0.2">
      <c r="A226" t="s">
        <v>17</v>
      </c>
      <c r="B226" t="s">
        <v>150</v>
      </c>
      <c r="C226" s="15" t="s">
        <v>162</v>
      </c>
      <c r="D226" s="32">
        <v>3</v>
      </c>
      <c r="E226" s="32">
        <v>0</v>
      </c>
      <c r="F226" s="32">
        <v>0</v>
      </c>
      <c r="G226" s="32">
        <v>0</v>
      </c>
      <c r="H226" s="15" t="s">
        <v>186</v>
      </c>
    </row>
    <row r="227" spans="1:8" x14ac:dyDescent="0.2">
      <c r="A227" t="s">
        <v>52</v>
      </c>
      <c r="B227" t="s">
        <v>150</v>
      </c>
      <c r="C227" s="15" t="s">
        <v>162</v>
      </c>
      <c r="D227" s="32">
        <v>3</v>
      </c>
      <c r="E227" s="32">
        <v>0</v>
      </c>
      <c r="F227" s="32">
        <v>0</v>
      </c>
      <c r="G227" s="32">
        <v>0</v>
      </c>
      <c r="H227" s="15" t="s">
        <v>186</v>
      </c>
    </row>
    <row r="228" spans="1:8" x14ac:dyDescent="0.2">
      <c r="A228" t="s">
        <v>34</v>
      </c>
      <c r="B228" t="s">
        <v>152</v>
      </c>
      <c r="C228" s="15" t="s">
        <v>162</v>
      </c>
      <c r="D228" s="32">
        <v>6</v>
      </c>
      <c r="E228" s="32">
        <v>0</v>
      </c>
      <c r="F228" s="32">
        <v>4119</v>
      </c>
      <c r="G228" s="32">
        <v>0</v>
      </c>
      <c r="H228" s="15" t="s">
        <v>186</v>
      </c>
    </row>
    <row r="229" spans="1:8" x14ac:dyDescent="0.2">
      <c r="A229" t="s">
        <v>163</v>
      </c>
      <c r="B229" t="s">
        <v>150</v>
      </c>
      <c r="C229" s="15" t="s">
        <v>162</v>
      </c>
      <c r="D229" s="32">
        <v>6.0166666666666657</v>
      </c>
      <c r="E229" s="32">
        <v>0</v>
      </c>
      <c r="F229" s="32">
        <v>0</v>
      </c>
      <c r="G229" s="32">
        <v>0</v>
      </c>
      <c r="H229" s="15" t="s">
        <v>186</v>
      </c>
    </row>
    <row r="230" spans="1:8" x14ac:dyDescent="0.2">
      <c r="A230" t="s">
        <v>45</v>
      </c>
      <c r="B230" t="s">
        <v>151</v>
      </c>
      <c r="C230" s="15" t="s">
        <v>162</v>
      </c>
      <c r="D230" s="32">
        <v>7.0833333333333339</v>
      </c>
      <c r="E230" s="32">
        <v>0</v>
      </c>
      <c r="F230" s="32">
        <v>7560</v>
      </c>
      <c r="G230" s="32">
        <v>0</v>
      </c>
      <c r="H230" s="15" t="s">
        <v>186</v>
      </c>
    </row>
    <row r="231" spans="1:8" x14ac:dyDescent="0.2">
      <c r="A231" t="s">
        <v>77</v>
      </c>
      <c r="B231" t="s">
        <v>151</v>
      </c>
      <c r="C231" s="15" t="s">
        <v>162</v>
      </c>
      <c r="D231" s="32">
        <v>6.4166666666666661</v>
      </c>
      <c r="E231" s="32">
        <v>0</v>
      </c>
      <c r="F231" s="32">
        <v>0</v>
      </c>
      <c r="G231" s="32">
        <v>0</v>
      </c>
      <c r="H231" s="15" t="s">
        <v>186</v>
      </c>
    </row>
    <row r="232" spans="1:8" x14ac:dyDescent="0.2">
      <c r="A232" t="s">
        <v>93</v>
      </c>
      <c r="B232" t="s">
        <v>150</v>
      </c>
      <c r="C232" s="15" t="s">
        <v>162</v>
      </c>
      <c r="D232" s="32">
        <v>12</v>
      </c>
      <c r="E232" s="32">
        <v>0</v>
      </c>
      <c r="F232" s="32">
        <v>0</v>
      </c>
      <c r="G232" s="32">
        <v>0</v>
      </c>
      <c r="H232" s="15" t="s">
        <v>186</v>
      </c>
    </row>
    <row r="233" spans="1:8" x14ac:dyDescent="0.2">
      <c r="A233" t="s">
        <v>159</v>
      </c>
      <c r="B233" t="s">
        <v>150</v>
      </c>
      <c r="C233" s="15" t="s">
        <v>162</v>
      </c>
      <c r="D233" s="32">
        <v>13.133333333333333</v>
      </c>
      <c r="E233" s="32">
        <v>0</v>
      </c>
      <c r="F233" s="32">
        <v>0</v>
      </c>
      <c r="G233" s="32">
        <v>0</v>
      </c>
      <c r="H233" s="15" t="s">
        <v>186</v>
      </c>
    </row>
    <row r="234" spans="1:8" x14ac:dyDescent="0.2">
      <c r="A234" t="s">
        <v>115</v>
      </c>
      <c r="B234" t="s">
        <v>153</v>
      </c>
      <c r="C234" s="15" t="s">
        <v>162</v>
      </c>
      <c r="D234" s="32">
        <v>3.5</v>
      </c>
      <c r="E234" s="32">
        <v>0</v>
      </c>
      <c r="F234" s="32">
        <v>2130</v>
      </c>
      <c r="G234" s="32">
        <v>0</v>
      </c>
      <c r="H234" s="15" t="s">
        <v>186</v>
      </c>
    </row>
    <row r="235" spans="1:8" x14ac:dyDescent="0.2">
      <c r="A235" t="s">
        <v>13</v>
      </c>
      <c r="B235" t="s">
        <v>150</v>
      </c>
      <c r="C235" s="15" t="s">
        <v>162</v>
      </c>
      <c r="D235" s="32">
        <v>197.88333333333327</v>
      </c>
      <c r="E235" s="32">
        <v>0</v>
      </c>
      <c r="F235" s="32">
        <v>173980</v>
      </c>
      <c r="G235" s="32">
        <v>0</v>
      </c>
      <c r="H235" s="15" t="s">
        <v>186</v>
      </c>
    </row>
    <row r="236" spans="1:8" x14ac:dyDescent="0.2">
      <c r="A236" t="s">
        <v>24</v>
      </c>
      <c r="B236" t="s">
        <v>150</v>
      </c>
      <c r="C236" s="15" t="s">
        <v>162</v>
      </c>
      <c r="D236" s="32">
        <v>170.03333333333336</v>
      </c>
      <c r="E236" s="32">
        <v>0</v>
      </c>
      <c r="F236" s="32">
        <v>0</v>
      </c>
      <c r="G236" s="32">
        <v>0</v>
      </c>
      <c r="H236" s="15" t="s">
        <v>186</v>
      </c>
    </row>
    <row r="237" spans="1:8" x14ac:dyDescent="0.2">
      <c r="A237" t="s">
        <v>3</v>
      </c>
      <c r="B237" t="s">
        <v>149</v>
      </c>
      <c r="C237" s="15" t="s">
        <v>162</v>
      </c>
      <c r="D237" s="32">
        <v>161.64999999999998</v>
      </c>
      <c r="E237" s="32">
        <v>0</v>
      </c>
      <c r="F237" s="32">
        <v>41926</v>
      </c>
      <c r="G237" s="32">
        <v>0</v>
      </c>
      <c r="H237" s="15" t="s">
        <v>186</v>
      </c>
    </row>
    <row r="238" spans="1:8" x14ac:dyDescent="0.2">
      <c r="A238" t="s">
        <v>47</v>
      </c>
      <c r="B238" t="s">
        <v>150</v>
      </c>
      <c r="C238" s="15" t="s">
        <v>162</v>
      </c>
      <c r="D238" s="32">
        <v>38.133333333333326</v>
      </c>
      <c r="E238" s="32">
        <v>0</v>
      </c>
      <c r="F238" s="32">
        <v>0</v>
      </c>
      <c r="G238" s="32">
        <v>0</v>
      </c>
      <c r="H238" s="15" t="s">
        <v>186</v>
      </c>
    </row>
    <row r="239" spans="1:8" x14ac:dyDescent="0.2">
      <c r="A239" t="s">
        <v>92</v>
      </c>
      <c r="B239" t="s">
        <v>150</v>
      </c>
      <c r="C239" s="15" t="s">
        <v>162</v>
      </c>
      <c r="D239" s="32">
        <v>2.7666666666666666</v>
      </c>
      <c r="E239" s="32">
        <v>0</v>
      </c>
      <c r="F239" s="32">
        <v>0</v>
      </c>
      <c r="G239" s="32">
        <v>0</v>
      </c>
      <c r="H239" s="15" t="s">
        <v>186</v>
      </c>
    </row>
    <row r="240" spans="1:8" x14ac:dyDescent="0.2">
      <c r="A240" t="s">
        <v>160</v>
      </c>
      <c r="B240" t="s">
        <v>154</v>
      </c>
      <c r="C240" s="15" t="s">
        <v>162</v>
      </c>
      <c r="D240" s="32">
        <v>480</v>
      </c>
      <c r="E240" s="32">
        <v>0</v>
      </c>
      <c r="F240" s="32">
        <v>0</v>
      </c>
      <c r="G240" s="32">
        <v>0</v>
      </c>
      <c r="H240" s="15" t="s">
        <v>186</v>
      </c>
    </row>
    <row r="241" spans="1:8" x14ac:dyDescent="0.2">
      <c r="A241" t="s">
        <v>6</v>
      </c>
      <c r="B241" t="s">
        <v>149</v>
      </c>
      <c r="C241" s="15" t="s">
        <v>162</v>
      </c>
      <c r="D241" s="32">
        <v>12</v>
      </c>
      <c r="E241" s="32">
        <v>0</v>
      </c>
      <c r="F241" s="32">
        <v>0</v>
      </c>
      <c r="G241" s="32">
        <v>0</v>
      </c>
      <c r="H241" s="15" t="s">
        <v>186</v>
      </c>
    </row>
    <row r="242" spans="1:8" x14ac:dyDescent="0.2">
      <c r="A242" t="s">
        <v>164</v>
      </c>
      <c r="B242" t="s">
        <v>150</v>
      </c>
      <c r="C242" s="15" t="s">
        <v>162</v>
      </c>
      <c r="D242" s="32">
        <v>2.4</v>
      </c>
      <c r="E242" s="32">
        <v>0</v>
      </c>
      <c r="F242" s="32">
        <v>0</v>
      </c>
      <c r="G242" s="32">
        <v>0</v>
      </c>
      <c r="H242" s="15" t="s">
        <v>186</v>
      </c>
    </row>
    <row r="243" spans="1:8" x14ac:dyDescent="0.2">
      <c r="A243" t="s">
        <v>177</v>
      </c>
      <c r="B243" t="s">
        <v>153</v>
      </c>
      <c r="C243" s="15" t="s">
        <v>162</v>
      </c>
      <c r="D243" s="32">
        <v>88.683333333333337</v>
      </c>
      <c r="E243" s="32">
        <v>0</v>
      </c>
      <c r="F243" s="32">
        <v>1952</v>
      </c>
      <c r="G243" s="32">
        <v>0</v>
      </c>
      <c r="H243" s="15" t="s">
        <v>186</v>
      </c>
    </row>
    <row r="244" spans="1:8" x14ac:dyDescent="0.2">
      <c r="A244" t="s">
        <v>165</v>
      </c>
      <c r="B244" t="s">
        <v>150</v>
      </c>
      <c r="C244" s="15" t="s">
        <v>162</v>
      </c>
      <c r="D244" s="32">
        <v>3</v>
      </c>
      <c r="E244" s="32">
        <v>0</v>
      </c>
      <c r="F244" s="32">
        <v>0</v>
      </c>
      <c r="G244" s="32">
        <v>0</v>
      </c>
      <c r="H244" s="15" t="s">
        <v>186</v>
      </c>
    </row>
    <row r="245" spans="1:8" x14ac:dyDescent="0.2">
      <c r="A245" t="s">
        <v>185</v>
      </c>
      <c r="B245" t="s">
        <v>151</v>
      </c>
      <c r="C245" s="15" t="s">
        <v>162</v>
      </c>
      <c r="D245" s="32">
        <v>96.46666666666664</v>
      </c>
      <c r="E245" s="32">
        <v>0</v>
      </c>
      <c r="F245" s="32">
        <v>91346</v>
      </c>
      <c r="G245" s="32">
        <v>0</v>
      </c>
      <c r="H245" s="15" t="s">
        <v>186</v>
      </c>
    </row>
    <row r="246" spans="1:8" x14ac:dyDescent="0.2">
      <c r="A246" t="s">
        <v>178</v>
      </c>
      <c r="B246" t="s">
        <v>153</v>
      </c>
      <c r="C246" s="15" t="s">
        <v>162</v>
      </c>
      <c r="D246" s="32">
        <v>1652.2000000000005</v>
      </c>
      <c r="E246" s="32">
        <v>0</v>
      </c>
      <c r="F246" s="32">
        <v>877460</v>
      </c>
      <c r="G246" s="32">
        <v>0</v>
      </c>
      <c r="H246" s="15" t="s">
        <v>186</v>
      </c>
    </row>
    <row r="247" spans="1:8" x14ac:dyDescent="0.2">
      <c r="A247" t="s">
        <v>25</v>
      </c>
      <c r="B247" t="s">
        <v>150</v>
      </c>
      <c r="C247" s="15" t="s">
        <v>162</v>
      </c>
      <c r="D247" s="32">
        <v>31.81666666666667</v>
      </c>
      <c r="E247" s="32">
        <v>0</v>
      </c>
      <c r="F247" s="32">
        <v>0</v>
      </c>
      <c r="G247" s="32">
        <v>0</v>
      </c>
      <c r="H247" s="15" t="s">
        <v>186</v>
      </c>
    </row>
    <row r="248" spans="1:8" x14ac:dyDescent="0.2">
      <c r="A248" t="s">
        <v>174</v>
      </c>
      <c r="B248" t="s">
        <v>149</v>
      </c>
      <c r="C248" s="15" t="s">
        <v>162</v>
      </c>
      <c r="D248" s="32">
        <v>63.04999999999999</v>
      </c>
      <c r="E248" s="32">
        <v>0</v>
      </c>
      <c r="F248" s="32">
        <v>0</v>
      </c>
      <c r="G248" s="32">
        <v>0</v>
      </c>
      <c r="H248" s="15" t="s">
        <v>186</v>
      </c>
    </row>
    <row r="249" spans="1:8" x14ac:dyDescent="0.2">
      <c r="A249" t="s">
        <v>38</v>
      </c>
      <c r="B249" t="s">
        <v>150</v>
      </c>
      <c r="C249" s="15" t="s">
        <v>162</v>
      </c>
      <c r="D249" s="32">
        <v>58</v>
      </c>
      <c r="E249" s="32">
        <v>0</v>
      </c>
      <c r="F249" s="32">
        <v>32188</v>
      </c>
      <c r="G249" s="32">
        <v>0</v>
      </c>
      <c r="H249" s="15" t="s">
        <v>186</v>
      </c>
    </row>
    <row r="250" spans="1:8" x14ac:dyDescent="0.2">
      <c r="A250" t="s">
        <v>187</v>
      </c>
      <c r="B250" t="s">
        <v>150</v>
      </c>
      <c r="C250" s="15" t="s">
        <v>162</v>
      </c>
      <c r="D250" s="32">
        <v>19</v>
      </c>
      <c r="E250" s="32">
        <v>0</v>
      </c>
      <c r="F250" s="32">
        <v>5190</v>
      </c>
      <c r="G250" s="32">
        <v>0</v>
      </c>
      <c r="H250" s="15" t="s">
        <v>186</v>
      </c>
    </row>
    <row r="251" spans="1:8" x14ac:dyDescent="0.2">
      <c r="A251" t="s">
        <v>113</v>
      </c>
      <c r="B251" t="s">
        <v>150</v>
      </c>
      <c r="C251" s="15" t="s">
        <v>162</v>
      </c>
      <c r="D251" s="32">
        <v>168</v>
      </c>
      <c r="E251" s="32">
        <v>0</v>
      </c>
      <c r="F251" s="32">
        <v>50625</v>
      </c>
      <c r="G251" s="32">
        <v>0</v>
      </c>
      <c r="H251" s="15" t="s">
        <v>186</v>
      </c>
    </row>
    <row r="252" spans="1:8" x14ac:dyDescent="0.2">
      <c r="A252" t="s">
        <v>80</v>
      </c>
      <c r="B252" t="s">
        <v>150</v>
      </c>
      <c r="C252" s="15" t="s">
        <v>162</v>
      </c>
      <c r="D252" s="32">
        <v>177</v>
      </c>
      <c r="E252" s="32">
        <v>0</v>
      </c>
      <c r="F252" s="32">
        <v>69675</v>
      </c>
      <c r="G252" s="32">
        <v>0</v>
      </c>
      <c r="H252" s="15" t="s">
        <v>186</v>
      </c>
    </row>
    <row r="253" spans="1:8" x14ac:dyDescent="0.2">
      <c r="A253" t="s">
        <v>107</v>
      </c>
      <c r="B253" t="s">
        <v>150</v>
      </c>
      <c r="C253" s="15" t="s">
        <v>162</v>
      </c>
      <c r="D253" s="32">
        <v>20</v>
      </c>
      <c r="E253" s="32">
        <v>0</v>
      </c>
      <c r="F253" s="32">
        <v>6875</v>
      </c>
      <c r="G253" s="32">
        <v>0</v>
      </c>
      <c r="H253" s="15" t="s">
        <v>186</v>
      </c>
    </row>
    <row r="254" spans="1:8" x14ac:dyDescent="0.2">
      <c r="A254" t="s">
        <v>42</v>
      </c>
      <c r="B254" t="s">
        <v>149</v>
      </c>
      <c r="C254" s="15" t="s">
        <v>161</v>
      </c>
      <c r="D254" s="32">
        <v>56</v>
      </c>
      <c r="E254" s="32">
        <v>0</v>
      </c>
      <c r="F254" s="32">
        <v>0</v>
      </c>
      <c r="G254" s="32">
        <v>0</v>
      </c>
      <c r="H254" s="15" t="s">
        <v>189</v>
      </c>
    </row>
    <row r="255" spans="1:8" x14ac:dyDescent="0.2">
      <c r="A255" t="s">
        <v>4</v>
      </c>
      <c r="B255" t="s">
        <v>149</v>
      </c>
      <c r="C255" s="15" t="s">
        <v>161</v>
      </c>
      <c r="D255" s="32">
        <v>19</v>
      </c>
      <c r="E255" s="32">
        <v>0</v>
      </c>
      <c r="F255" s="32">
        <v>2512</v>
      </c>
      <c r="G255" s="32">
        <v>0</v>
      </c>
      <c r="H255" s="15" t="s">
        <v>189</v>
      </c>
    </row>
    <row r="256" spans="1:8" x14ac:dyDescent="0.2">
      <c r="A256" t="s">
        <v>2</v>
      </c>
      <c r="B256" t="s">
        <v>149</v>
      </c>
      <c r="C256" s="15" t="s">
        <v>161</v>
      </c>
      <c r="D256" s="32">
        <v>35</v>
      </c>
      <c r="E256" s="32">
        <v>0</v>
      </c>
      <c r="F256" s="32">
        <v>27038</v>
      </c>
      <c r="G256" s="32">
        <v>0</v>
      </c>
      <c r="H256" s="15" t="s">
        <v>189</v>
      </c>
    </row>
    <row r="257" spans="1:8" x14ac:dyDescent="0.2">
      <c r="A257" t="s">
        <v>1</v>
      </c>
      <c r="B257" t="s">
        <v>149</v>
      </c>
      <c r="C257" s="15" t="s">
        <v>161</v>
      </c>
      <c r="D257" s="32">
        <v>14</v>
      </c>
      <c r="E257" s="32">
        <v>0</v>
      </c>
      <c r="F257" s="32">
        <v>7240</v>
      </c>
      <c r="G257" s="32">
        <v>0</v>
      </c>
      <c r="H257" s="15" t="s">
        <v>189</v>
      </c>
    </row>
    <row r="258" spans="1:8" x14ac:dyDescent="0.2">
      <c r="A258" t="s">
        <v>27</v>
      </c>
      <c r="B258" t="s">
        <v>149</v>
      </c>
      <c r="C258" s="15" t="s">
        <v>161</v>
      </c>
      <c r="D258" s="32">
        <v>515</v>
      </c>
      <c r="E258" s="32">
        <v>0</v>
      </c>
      <c r="F258" s="32">
        <v>0</v>
      </c>
      <c r="G258" s="32">
        <v>0</v>
      </c>
      <c r="H258" s="15" t="s">
        <v>189</v>
      </c>
    </row>
    <row r="259" spans="1:8" x14ac:dyDescent="0.2">
      <c r="A259" t="s">
        <v>23</v>
      </c>
      <c r="B259" t="s">
        <v>149</v>
      </c>
      <c r="C259" s="15" t="s">
        <v>161</v>
      </c>
      <c r="D259" s="32">
        <v>36</v>
      </c>
      <c r="E259" s="32">
        <v>0</v>
      </c>
      <c r="F259" s="32">
        <v>0</v>
      </c>
      <c r="G259" s="32">
        <v>0</v>
      </c>
      <c r="H259" s="15" t="s">
        <v>189</v>
      </c>
    </row>
    <row r="260" spans="1:8" x14ac:dyDescent="0.2">
      <c r="A260" t="s">
        <v>182</v>
      </c>
      <c r="B260" t="s">
        <v>149</v>
      </c>
      <c r="C260" s="15" t="s">
        <v>161</v>
      </c>
      <c r="D260" s="32">
        <v>0</v>
      </c>
      <c r="E260" s="32">
        <v>0</v>
      </c>
      <c r="F260" s="32">
        <v>0</v>
      </c>
      <c r="G260" s="32">
        <v>0</v>
      </c>
      <c r="H260" s="15" t="s">
        <v>189</v>
      </c>
    </row>
    <row r="261" spans="1:8" x14ac:dyDescent="0.2">
      <c r="A261" t="s">
        <v>3</v>
      </c>
      <c r="B261" t="s">
        <v>149</v>
      </c>
      <c r="C261" s="15" t="s">
        <v>161</v>
      </c>
      <c r="D261" s="32">
        <v>0</v>
      </c>
      <c r="E261" s="32">
        <v>0</v>
      </c>
      <c r="F261" s="32">
        <v>1394</v>
      </c>
      <c r="G261" s="32">
        <v>0</v>
      </c>
      <c r="H261" s="15" t="s">
        <v>189</v>
      </c>
    </row>
    <row r="262" spans="1:8" x14ac:dyDescent="0.2">
      <c r="A262" t="s">
        <v>6</v>
      </c>
      <c r="B262" t="s">
        <v>149</v>
      </c>
      <c r="C262" s="15" t="s">
        <v>161</v>
      </c>
      <c r="D262" s="32">
        <v>102</v>
      </c>
      <c r="E262" s="32">
        <v>0</v>
      </c>
      <c r="F262" s="32">
        <v>0</v>
      </c>
      <c r="G262" s="32">
        <v>0</v>
      </c>
      <c r="H262" s="15" t="s">
        <v>189</v>
      </c>
    </row>
    <row r="263" spans="1:8" x14ac:dyDescent="0.2">
      <c r="A263" t="s">
        <v>183</v>
      </c>
      <c r="B263" t="s">
        <v>150</v>
      </c>
      <c r="C263" s="15" t="s">
        <v>162</v>
      </c>
      <c r="D263" s="32">
        <v>6</v>
      </c>
      <c r="E263" s="32">
        <v>0</v>
      </c>
      <c r="F263" s="32">
        <v>0</v>
      </c>
      <c r="G263" s="32">
        <v>0</v>
      </c>
      <c r="H263" s="15" t="s">
        <v>189</v>
      </c>
    </row>
    <row r="264" spans="1:8" x14ac:dyDescent="0.2">
      <c r="A264" t="s">
        <v>2</v>
      </c>
      <c r="B264" t="s">
        <v>149</v>
      </c>
      <c r="C264" s="15" t="s">
        <v>162</v>
      </c>
      <c r="D264" s="32">
        <v>432</v>
      </c>
      <c r="E264" s="32">
        <v>0</v>
      </c>
      <c r="F264" s="32">
        <v>229386</v>
      </c>
      <c r="G264" s="32">
        <v>0</v>
      </c>
      <c r="H264" s="15" t="s">
        <v>189</v>
      </c>
    </row>
    <row r="265" spans="1:8" x14ac:dyDescent="0.2">
      <c r="A265" t="s">
        <v>27</v>
      </c>
      <c r="B265" t="s">
        <v>149</v>
      </c>
      <c r="C265" s="15" t="s">
        <v>162</v>
      </c>
      <c r="D265" s="32">
        <v>129</v>
      </c>
      <c r="E265" s="32">
        <v>0</v>
      </c>
      <c r="F265" s="32">
        <v>0</v>
      </c>
      <c r="G265" s="32">
        <v>0</v>
      </c>
      <c r="H265" s="15" t="s">
        <v>189</v>
      </c>
    </row>
    <row r="266" spans="1:8" x14ac:dyDescent="0.2">
      <c r="A266" t="s">
        <v>184</v>
      </c>
      <c r="B266" t="s">
        <v>151</v>
      </c>
      <c r="C266" s="15" t="s">
        <v>162</v>
      </c>
      <c r="D266" s="32">
        <v>347</v>
      </c>
      <c r="E266" s="32">
        <v>0</v>
      </c>
      <c r="F266" s="32">
        <v>204163</v>
      </c>
      <c r="G266" s="32">
        <v>0</v>
      </c>
      <c r="H266" s="15" t="s">
        <v>189</v>
      </c>
    </row>
    <row r="267" spans="1:8" x14ac:dyDescent="0.2">
      <c r="A267" t="s">
        <v>10</v>
      </c>
      <c r="B267" t="s">
        <v>150</v>
      </c>
      <c r="C267" s="15" t="s">
        <v>162</v>
      </c>
      <c r="D267" s="32">
        <v>68</v>
      </c>
      <c r="E267" s="32">
        <v>0</v>
      </c>
      <c r="F267" s="32">
        <v>389571</v>
      </c>
      <c r="G267" s="32">
        <v>0</v>
      </c>
      <c r="H267" s="15" t="s">
        <v>189</v>
      </c>
    </row>
    <row r="268" spans="1:8" x14ac:dyDescent="0.2">
      <c r="A268" t="s">
        <v>75</v>
      </c>
      <c r="B268" t="s">
        <v>150</v>
      </c>
      <c r="C268" s="15" t="s">
        <v>162</v>
      </c>
      <c r="D268" s="32">
        <v>16</v>
      </c>
      <c r="E268" s="32">
        <v>0</v>
      </c>
      <c r="F268" s="32">
        <v>0</v>
      </c>
      <c r="G268" s="32">
        <v>0</v>
      </c>
      <c r="H268" s="15" t="s">
        <v>189</v>
      </c>
    </row>
    <row r="269" spans="1:8" x14ac:dyDescent="0.2">
      <c r="A269" t="s">
        <v>52</v>
      </c>
      <c r="B269" t="s">
        <v>150</v>
      </c>
      <c r="C269" s="15" t="s">
        <v>162</v>
      </c>
      <c r="D269" s="32">
        <v>6</v>
      </c>
      <c r="E269" s="32">
        <v>0</v>
      </c>
      <c r="F269" s="32">
        <v>0</v>
      </c>
      <c r="G269" s="32">
        <v>0</v>
      </c>
      <c r="H269" s="15" t="s">
        <v>189</v>
      </c>
    </row>
    <row r="270" spans="1:8" x14ac:dyDescent="0.2">
      <c r="A270" t="s">
        <v>34</v>
      </c>
      <c r="B270" t="s">
        <v>152</v>
      </c>
      <c r="C270" s="15" t="s">
        <v>162</v>
      </c>
      <c r="D270" s="32">
        <v>39</v>
      </c>
      <c r="E270" s="32">
        <v>0</v>
      </c>
      <c r="F270" s="32">
        <v>17375</v>
      </c>
      <c r="G270" s="32">
        <v>0</v>
      </c>
      <c r="H270" s="15" t="s">
        <v>189</v>
      </c>
    </row>
    <row r="271" spans="1:8" x14ac:dyDescent="0.2">
      <c r="A271" t="s">
        <v>163</v>
      </c>
      <c r="B271" t="s">
        <v>150</v>
      </c>
      <c r="C271" s="15" t="s">
        <v>162</v>
      </c>
      <c r="D271" s="32">
        <v>8</v>
      </c>
      <c r="E271" s="32">
        <v>0</v>
      </c>
      <c r="F271" s="32">
        <v>0</v>
      </c>
      <c r="G271" s="32">
        <v>0</v>
      </c>
      <c r="H271" s="15" t="s">
        <v>189</v>
      </c>
    </row>
    <row r="272" spans="1:8" x14ac:dyDescent="0.2">
      <c r="A272" t="s">
        <v>93</v>
      </c>
      <c r="B272" t="s">
        <v>150</v>
      </c>
      <c r="C272" s="15" t="s">
        <v>162</v>
      </c>
      <c r="D272" s="32">
        <v>27</v>
      </c>
      <c r="E272" s="32">
        <v>0</v>
      </c>
      <c r="F272" s="32">
        <v>0</v>
      </c>
      <c r="G272" s="32">
        <v>0</v>
      </c>
      <c r="H272" s="15" t="s">
        <v>189</v>
      </c>
    </row>
    <row r="273" spans="1:8" x14ac:dyDescent="0.2">
      <c r="A273" t="s">
        <v>31</v>
      </c>
      <c r="B273" t="s">
        <v>152</v>
      </c>
      <c r="C273" s="15" t="s">
        <v>162</v>
      </c>
      <c r="D273" s="32">
        <v>23</v>
      </c>
      <c r="E273" s="32">
        <v>0</v>
      </c>
      <c r="F273" s="32">
        <v>13553</v>
      </c>
      <c r="G273" s="32">
        <v>0</v>
      </c>
      <c r="H273" s="15" t="s">
        <v>189</v>
      </c>
    </row>
    <row r="274" spans="1:8" x14ac:dyDescent="0.2">
      <c r="A274" t="s">
        <v>14</v>
      </c>
      <c r="B274" t="s">
        <v>150</v>
      </c>
      <c r="C274" s="15" t="s">
        <v>162</v>
      </c>
      <c r="D274" s="32">
        <v>6</v>
      </c>
      <c r="E274" s="32">
        <v>0</v>
      </c>
      <c r="F274" s="32">
        <v>0</v>
      </c>
      <c r="G274" s="32">
        <v>0</v>
      </c>
      <c r="H274" s="15" t="s">
        <v>189</v>
      </c>
    </row>
    <row r="275" spans="1:8" x14ac:dyDescent="0.2">
      <c r="A275" t="s">
        <v>13</v>
      </c>
      <c r="B275" t="s">
        <v>150</v>
      </c>
      <c r="C275" s="15" t="s">
        <v>162</v>
      </c>
      <c r="D275" s="32">
        <v>186</v>
      </c>
      <c r="E275" s="32">
        <v>0</v>
      </c>
      <c r="F275" s="32">
        <v>194840</v>
      </c>
      <c r="G275" s="32">
        <v>0</v>
      </c>
      <c r="H275" s="15" t="s">
        <v>189</v>
      </c>
    </row>
    <row r="276" spans="1:8" x14ac:dyDescent="0.2">
      <c r="A276" t="s">
        <v>24</v>
      </c>
      <c r="B276" t="s">
        <v>150</v>
      </c>
      <c r="C276" s="15" t="s">
        <v>162</v>
      </c>
      <c r="D276" s="32">
        <v>229</v>
      </c>
      <c r="E276" s="32">
        <v>0</v>
      </c>
      <c r="F276" s="32">
        <v>0</v>
      </c>
      <c r="G276" s="32">
        <v>0</v>
      </c>
      <c r="H276" s="15" t="s">
        <v>189</v>
      </c>
    </row>
    <row r="277" spans="1:8" x14ac:dyDescent="0.2">
      <c r="A277" t="s">
        <v>3</v>
      </c>
      <c r="B277" t="s">
        <v>149</v>
      </c>
      <c r="C277" s="15" t="s">
        <v>162</v>
      </c>
      <c r="D277" s="32">
        <v>136</v>
      </c>
      <c r="E277" s="32">
        <v>0</v>
      </c>
      <c r="F277" s="32">
        <v>54628.4</v>
      </c>
      <c r="G277" s="32">
        <v>0</v>
      </c>
      <c r="H277" s="15" t="s">
        <v>189</v>
      </c>
    </row>
    <row r="278" spans="1:8" x14ac:dyDescent="0.2">
      <c r="A278" t="s">
        <v>47</v>
      </c>
      <c r="B278" t="s">
        <v>150</v>
      </c>
      <c r="C278" s="15" t="s">
        <v>162</v>
      </c>
      <c r="D278" s="32">
        <v>52</v>
      </c>
      <c r="E278" s="32">
        <v>0</v>
      </c>
      <c r="F278" s="32">
        <v>0</v>
      </c>
      <c r="G278" s="32">
        <v>0</v>
      </c>
      <c r="H278" s="15" t="s">
        <v>189</v>
      </c>
    </row>
    <row r="279" spans="1:8" x14ac:dyDescent="0.2">
      <c r="A279" t="s">
        <v>92</v>
      </c>
      <c r="B279" t="s">
        <v>150</v>
      </c>
      <c r="C279" s="15" t="s">
        <v>162</v>
      </c>
      <c r="D279" s="32">
        <v>6</v>
      </c>
      <c r="E279" s="32">
        <v>0</v>
      </c>
      <c r="F279" s="32">
        <v>0</v>
      </c>
      <c r="G279" s="32">
        <v>0</v>
      </c>
      <c r="H279" s="15" t="s">
        <v>189</v>
      </c>
    </row>
    <row r="280" spans="1:8" x14ac:dyDescent="0.2">
      <c r="A280" t="s">
        <v>160</v>
      </c>
      <c r="B280" t="s">
        <v>154</v>
      </c>
      <c r="C280" s="15" t="s">
        <v>162</v>
      </c>
      <c r="D280" s="32">
        <v>480</v>
      </c>
      <c r="E280" s="32">
        <v>0</v>
      </c>
      <c r="F280" s="32">
        <v>0</v>
      </c>
      <c r="G280" s="32">
        <v>0</v>
      </c>
      <c r="H280" s="15" t="s">
        <v>189</v>
      </c>
    </row>
    <row r="281" spans="1:8" x14ac:dyDescent="0.2">
      <c r="A281" t="s">
        <v>32</v>
      </c>
      <c r="B281" t="s">
        <v>152</v>
      </c>
      <c r="C281" s="15" t="s">
        <v>162</v>
      </c>
      <c r="D281" s="32">
        <v>2</v>
      </c>
      <c r="E281" s="32">
        <v>0</v>
      </c>
      <c r="F281" s="32">
        <v>655</v>
      </c>
      <c r="G281" s="32">
        <v>0</v>
      </c>
      <c r="H281" s="15" t="s">
        <v>189</v>
      </c>
    </row>
    <row r="282" spans="1:8" x14ac:dyDescent="0.2">
      <c r="A282" t="s">
        <v>6</v>
      </c>
      <c r="B282" t="s">
        <v>149</v>
      </c>
      <c r="C282" s="15" t="s">
        <v>162</v>
      </c>
      <c r="D282" s="32">
        <v>48</v>
      </c>
      <c r="E282" s="32">
        <v>0</v>
      </c>
      <c r="F282" s="32">
        <v>0</v>
      </c>
      <c r="G282" s="32">
        <v>0</v>
      </c>
      <c r="H282" s="15" t="s">
        <v>189</v>
      </c>
    </row>
    <row r="283" spans="1:8" x14ac:dyDescent="0.2">
      <c r="A283" t="s">
        <v>38</v>
      </c>
      <c r="B283" t="s">
        <v>150</v>
      </c>
      <c r="C283" s="15" t="s">
        <v>162</v>
      </c>
      <c r="D283" s="32">
        <v>48</v>
      </c>
      <c r="E283" s="32">
        <v>0</v>
      </c>
      <c r="F283" s="32">
        <v>26970</v>
      </c>
      <c r="G283" s="32">
        <v>0</v>
      </c>
      <c r="H283" s="15" t="s">
        <v>189</v>
      </c>
    </row>
    <row r="284" spans="1:8" x14ac:dyDescent="0.2">
      <c r="A284" t="s">
        <v>164</v>
      </c>
      <c r="B284" t="s">
        <v>150</v>
      </c>
      <c r="C284" s="15" t="s">
        <v>162</v>
      </c>
      <c r="D284" s="32">
        <v>14</v>
      </c>
      <c r="E284" s="32">
        <v>0</v>
      </c>
      <c r="F284" s="32">
        <v>0</v>
      </c>
      <c r="G284" s="32">
        <v>0</v>
      </c>
      <c r="H284" s="15" t="s">
        <v>189</v>
      </c>
    </row>
    <row r="285" spans="1:8" x14ac:dyDescent="0.2">
      <c r="A285" t="s">
        <v>187</v>
      </c>
      <c r="B285" t="s">
        <v>150</v>
      </c>
      <c r="C285" s="15" t="s">
        <v>162</v>
      </c>
      <c r="D285" s="32">
        <v>82</v>
      </c>
      <c r="E285" s="32">
        <v>0</v>
      </c>
      <c r="F285" s="32">
        <v>11040</v>
      </c>
      <c r="G285" s="32">
        <v>0</v>
      </c>
      <c r="H285" s="15" t="s">
        <v>189</v>
      </c>
    </row>
    <row r="286" spans="1:8" x14ac:dyDescent="0.2">
      <c r="A286" t="s">
        <v>177</v>
      </c>
      <c r="B286" t="s">
        <v>153</v>
      </c>
      <c r="C286" s="15" t="s">
        <v>162</v>
      </c>
      <c r="D286" s="32">
        <v>110</v>
      </c>
      <c r="E286" s="32">
        <v>0</v>
      </c>
      <c r="F286" s="32">
        <v>6192</v>
      </c>
      <c r="G286" s="32">
        <v>0</v>
      </c>
      <c r="H286" s="15" t="s">
        <v>189</v>
      </c>
    </row>
    <row r="287" spans="1:8" x14ac:dyDescent="0.2">
      <c r="A287" t="s">
        <v>165</v>
      </c>
      <c r="B287" t="s">
        <v>150</v>
      </c>
      <c r="C287" s="15" t="s">
        <v>162</v>
      </c>
      <c r="D287" s="32">
        <v>6</v>
      </c>
      <c r="E287" s="32">
        <v>0</v>
      </c>
      <c r="F287" s="32">
        <v>0</v>
      </c>
      <c r="G287" s="32">
        <v>0</v>
      </c>
      <c r="H287" s="15" t="s">
        <v>189</v>
      </c>
    </row>
    <row r="288" spans="1:8" x14ac:dyDescent="0.2">
      <c r="A288" t="s">
        <v>185</v>
      </c>
      <c r="B288" t="s">
        <v>151</v>
      </c>
      <c r="C288" s="15" t="s">
        <v>162</v>
      </c>
      <c r="D288" s="32">
        <v>44</v>
      </c>
      <c r="E288" s="32">
        <v>0</v>
      </c>
      <c r="F288" s="32">
        <v>44249</v>
      </c>
      <c r="G288" s="32">
        <v>0</v>
      </c>
      <c r="H288" s="15" t="s">
        <v>189</v>
      </c>
    </row>
    <row r="289" spans="1:8" x14ac:dyDescent="0.2">
      <c r="A289" t="s">
        <v>113</v>
      </c>
      <c r="B289" t="s">
        <v>150</v>
      </c>
      <c r="C289" s="15" t="s">
        <v>162</v>
      </c>
      <c r="D289" s="32">
        <v>270</v>
      </c>
      <c r="E289" s="32">
        <v>0</v>
      </c>
      <c r="F289" s="32">
        <v>113696</v>
      </c>
      <c r="G289" s="32">
        <v>0</v>
      </c>
      <c r="H289" s="15" t="s">
        <v>189</v>
      </c>
    </row>
    <row r="290" spans="1:8" x14ac:dyDescent="0.2">
      <c r="A290" t="s">
        <v>80</v>
      </c>
      <c r="B290" t="s">
        <v>150</v>
      </c>
      <c r="C290" s="15" t="s">
        <v>162</v>
      </c>
      <c r="D290" s="32">
        <v>196</v>
      </c>
      <c r="E290" s="32">
        <v>0</v>
      </c>
      <c r="F290" s="32">
        <v>89385</v>
      </c>
      <c r="G290" s="32">
        <v>0</v>
      </c>
      <c r="H290" s="15" t="s">
        <v>189</v>
      </c>
    </row>
    <row r="291" spans="1:8" x14ac:dyDescent="0.2">
      <c r="A291" t="s">
        <v>178</v>
      </c>
      <c r="B291" t="s">
        <v>153</v>
      </c>
      <c r="C291" s="15" t="s">
        <v>162</v>
      </c>
      <c r="D291" s="32">
        <v>1568</v>
      </c>
      <c r="E291" s="32">
        <v>0</v>
      </c>
      <c r="F291" s="32">
        <v>884120</v>
      </c>
      <c r="G291" s="32">
        <v>0</v>
      </c>
      <c r="H291" s="15" t="s">
        <v>189</v>
      </c>
    </row>
    <row r="292" spans="1:8" x14ac:dyDescent="0.2">
      <c r="A292" t="s">
        <v>25</v>
      </c>
      <c r="B292" t="s">
        <v>150</v>
      </c>
      <c r="C292" s="15" t="s">
        <v>162</v>
      </c>
      <c r="D292" s="32">
        <v>45</v>
      </c>
      <c r="E292" s="32">
        <v>0</v>
      </c>
      <c r="F292" s="32">
        <v>0</v>
      </c>
      <c r="G292" s="32">
        <v>0</v>
      </c>
      <c r="H292" s="15" t="s">
        <v>189</v>
      </c>
    </row>
    <row r="293" spans="1:8" x14ac:dyDescent="0.2">
      <c r="A293" t="s">
        <v>107</v>
      </c>
      <c r="B293" t="s">
        <v>150</v>
      </c>
      <c r="C293" s="15" t="s">
        <v>162</v>
      </c>
      <c r="D293" s="32">
        <v>21</v>
      </c>
      <c r="E293" s="32">
        <v>0</v>
      </c>
      <c r="F293" s="32">
        <v>6075</v>
      </c>
      <c r="G293" s="32">
        <v>0</v>
      </c>
      <c r="H293" s="15" t="s">
        <v>189</v>
      </c>
    </row>
    <row r="294" spans="1:8" x14ac:dyDescent="0.2">
      <c r="A294" t="s">
        <v>174</v>
      </c>
      <c r="B294" t="s">
        <v>149</v>
      </c>
      <c r="C294" s="15" t="s">
        <v>162</v>
      </c>
      <c r="D294" s="32">
        <v>41</v>
      </c>
      <c r="E294" s="32">
        <v>0</v>
      </c>
      <c r="F294" s="32">
        <v>0</v>
      </c>
      <c r="G294" s="32">
        <v>0</v>
      </c>
      <c r="H294" s="15" t="s">
        <v>189</v>
      </c>
    </row>
    <row r="295" spans="1:8" x14ac:dyDescent="0.2">
      <c r="A295" t="s">
        <v>42</v>
      </c>
      <c r="B295" t="s">
        <v>149</v>
      </c>
      <c r="C295" s="15" t="s">
        <v>161</v>
      </c>
      <c r="D295" s="32">
        <v>103.99999999999999</v>
      </c>
      <c r="E295" s="32">
        <v>0</v>
      </c>
      <c r="F295" s="32">
        <v>0</v>
      </c>
      <c r="G295" s="32">
        <v>0</v>
      </c>
      <c r="H295" s="15" t="s">
        <v>191</v>
      </c>
    </row>
    <row r="296" spans="1:8" x14ac:dyDescent="0.2">
      <c r="A296" t="s">
        <v>4</v>
      </c>
      <c r="B296" t="s">
        <v>149</v>
      </c>
      <c r="C296" s="15" t="s">
        <v>161</v>
      </c>
      <c r="D296" s="32">
        <v>10.583333333333332</v>
      </c>
      <c r="E296" s="32">
        <v>0</v>
      </c>
      <c r="F296" s="32">
        <v>1653</v>
      </c>
      <c r="G296" s="32">
        <v>0</v>
      </c>
      <c r="H296" s="15" t="s">
        <v>191</v>
      </c>
    </row>
    <row r="297" spans="1:8" x14ac:dyDescent="0.2">
      <c r="A297" t="s">
        <v>2</v>
      </c>
      <c r="B297" t="s">
        <v>149</v>
      </c>
      <c r="C297" s="15" t="s">
        <v>161</v>
      </c>
      <c r="D297" s="32">
        <v>41.383333333333326</v>
      </c>
      <c r="E297" s="32">
        <v>0</v>
      </c>
      <c r="F297" s="32">
        <v>20045</v>
      </c>
      <c r="G297" s="32">
        <v>0</v>
      </c>
      <c r="H297" s="15" t="s">
        <v>191</v>
      </c>
    </row>
    <row r="298" spans="1:8" x14ac:dyDescent="0.2">
      <c r="A298" t="s">
        <v>1</v>
      </c>
      <c r="B298" t="s">
        <v>149</v>
      </c>
      <c r="C298" s="15" t="s">
        <v>161</v>
      </c>
      <c r="D298" s="32">
        <v>11.75</v>
      </c>
      <c r="E298" s="32">
        <v>0</v>
      </c>
      <c r="F298" s="32">
        <v>1960.9052999999999</v>
      </c>
      <c r="G298" s="32">
        <v>0</v>
      </c>
      <c r="H298" s="15" t="s">
        <v>191</v>
      </c>
    </row>
    <row r="299" spans="1:8" x14ac:dyDescent="0.2">
      <c r="A299" t="s">
        <v>27</v>
      </c>
      <c r="B299" t="s">
        <v>149</v>
      </c>
      <c r="C299" s="15" t="s">
        <v>161</v>
      </c>
      <c r="D299" s="32">
        <v>498.08333333333314</v>
      </c>
      <c r="E299" s="32">
        <v>0</v>
      </c>
      <c r="F299" s="32">
        <v>0</v>
      </c>
      <c r="G299" s="32">
        <v>0</v>
      </c>
      <c r="H299" s="15" t="s">
        <v>191</v>
      </c>
    </row>
    <row r="300" spans="1:8" x14ac:dyDescent="0.2">
      <c r="A300" t="s">
        <v>23</v>
      </c>
      <c r="B300" t="s">
        <v>149</v>
      </c>
      <c r="C300" s="15" t="s">
        <v>161</v>
      </c>
      <c r="D300" s="32">
        <v>110.25000000000001</v>
      </c>
      <c r="E300" s="32">
        <v>0</v>
      </c>
      <c r="F300" s="32">
        <v>0</v>
      </c>
      <c r="G300" s="32">
        <v>0</v>
      </c>
      <c r="H300" s="15" t="s">
        <v>191</v>
      </c>
    </row>
    <row r="301" spans="1:8" x14ac:dyDescent="0.2">
      <c r="A301" t="s">
        <v>182</v>
      </c>
      <c r="B301" t="s">
        <v>149</v>
      </c>
      <c r="C301" s="15" t="s">
        <v>161</v>
      </c>
      <c r="D301" s="32">
        <v>0.83333333333333337</v>
      </c>
      <c r="E301" s="32">
        <v>0</v>
      </c>
      <c r="F301" s="32">
        <v>0</v>
      </c>
      <c r="G301" s="32">
        <v>0</v>
      </c>
      <c r="H301" s="15" t="s">
        <v>191</v>
      </c>
    </row>
    <row r="302" spans="1:8" x14ac:dyDescent="0.2">
      <c r="A302" t="s">
        <v>6</v>
      </c>
      <c r="B302" t="s">
        <v>149</v>
      </c>
      <c r="C302" s="15" t="s">
        <v>161</v>
      </c>
      <c r="D302" s="32">
        <v>254</v>
      </c>
      <c r="E302" s="32">
        <v>0</v>
      </c>
      <c r="F302" s="32">
        <v>0</v>
      </c>
      <c r="G302" s="32">
        <v>0</v>
      </c>
      <c r="H302" s="15" t="s">
        <v>191</v>
      </c>
    </row>
    <row r="303" spans="1:8" x14ac:dyDescent="0.2">
      <c r="A303" t="s">
        <v>194</v>
      </c>
      <c r="B303" t="s">
        <v>149</v>
      </c>
      <c r="C303" s="15" t="s">
        <v>161</v>
      </c>
      <c r="D303" s="32">
        <v>19.583333333333332</v>
      </c>
      <c r="E303" s="32">
        <v>0</v>
      </c>
      <c r="F303" s="32">
        <v>0</v>
      </c>
      <c r="G303" s="32">
        <v>0</v>
      </c>
      <c r="H303" s="15" t="s">
        <v>191</v>
      </c>
    </row>
    <row r="304" spans="1:8" x14ac:dyDescent="0.2">
      <c r="A304" t="s">
        <v>183</v>
      </c>
      <c r="B304" t="s">
        <v>150</v>
      </c>
      <c r="C304" s="15" t="s">
        <v>162</v>
      </c>
      <c r="D304" s="32">
        <v>8.1333333333333329</v>
      </c>
      <c r="E304" s="32">
        <v>0</v>
      </c>
      <c r="F304" s="32">
        <v>0</v>
      </c>
      <c r="G304" s="32">
        <v>0</v>
      </c>
      <c r="H304" s="15" t="s">
        <v>191</v>
      </c>
    </row>
    <row r="305" spans="1:8" x14ac:dyDescent="0.2">
      <c r="A305" t="s">
        <v>42</v>
      </c>
      <c r="B305" t="s">
        <v>149</v>
      </c>
      <c r="C305" s="15" t="s">
        <v>162</v>
      </c>
      <c r="D305" s="32">
        <v>13.916666666666666</v>
      </c>
      <c r="E305" s="32">
        <v>0</v>
      </c>
      <c r="F305" s="32">
        <v>0</v>
      </c>
      <c r="G305" s="32">
        <v>0</v>
      </c>
      <c r="H305" s="15" t="s">
        <v>191</v>
      </c>
    </row>
    <row r="306" spans="1:8" x14ac:dyDescent="0.2">
      <c r="A306" t="s">
        <v>2</v>
      </c>
      <c r="B306" t="s">
        <v>149</v>
      </c>
      <c r="C306" s="15" t="s">
        <v>162</v>
      </c>
      <c r="D306" s="32">
        <v>420.56666666666672</v>
      </c>
      <c r="E306" s="32">
        <v>0</v>
      </c>
      <c r="F306" s="32">
        <v>217601</v>
      </c>
      <c r="G306" s="32">
        <v>0</v>
      </c>
      <c r="H306" s="15" t="s">
        <v>191</v>
      </c>
    </row>
    <row r="307" spans="1:8" x14ac:dyDescent="0.2">
      <c r="A307" t="s">
        <v>1</v>
      </c>
      <c r="B307" t="s">
        <v>149</v>
      </c>
      <c r="C307" s="15" t="s">
        <v>162</v>
      </c>
      <c r="D307" s="32">
        <v>17.783333333333331</v>
      </c>
      <c r="E307" s="32">
        <v>0</v>
      </c>
      <c r="F307" s="32">
        <v>4267.1014999999998</v>
      </c>
      <c r="G307" s="32">
        <v>0</v>
      </c>
      <c r="H307" s="15" t="s">
        <v>191</v>
      </c>
    </row>
    <row r="308" spans="1:8" x14ac:dyDescent="0.2">
      <c r="A308" t="s">
        <v>27</v>
      </c>
      <c r="B308" t="s">
        <v>149</v>
      </c>
      <c r="C308" s="15" t="s">
        <v>162</v>
      </c>
      <c r="D308" s="32">
        <v>15.583333333333332</v>
      </c>
      <c r="E308" s="32">
        <v>0</v>
      </c>
      <c r="F308" s="32">
        <v>0</v>
      </c>
      <c r="G308" s="32">
        <v>0</v>
      </c>
      <c r="H308" s="15" t="s">
        <v>191</v>
      </c>
    </row>
    <row r="309" spans="1:8" x14ac:dyDescent="0.2">
      <c r="A309" t="s">
        <v>184</v>
      </c>
      <c r="B309" t="s">
        <v>151</v>
      </c>
      <c r="C309" s="15" t="s">
        <v>162</v>
      </c>
      <c r="D309" s="32">
        <v>394.83333333333343</v>
      </c>
      <c r="E309" s="32">
        <v>0</v>
      </c>
      <c r="F309" s="32">
        <v>239625</v>
      </c>
      <c r="G309" s="32">
        <v>0</v>
      </c>
      <c r="H309" s="15" t="s">
        <v>191</v>
      </c>
    </row>
    <row r="310" spans="1:8" x14ac:dyDescent="0.2">
      <c r="A310" t="s">
        <v>10</v>
      </c>
      <c r="B310" t="s">
        <v>150</v>
      </c>
      <c r="C310" s="15" t="s">
        <v>162</v>
      </c>
      <c r="D310" s="32">
        <v>56.533333333333339</v>
      </c>
      <c r="E310" s="32">
        <v>0</v>
      </c>
      <c r="F310" s="32">
        <v>314222</v>
      </c>
      <c r="G310" s="32">
        <v>0</v>
      </c>
      <c r="H310" s="15" t="s">
        <v>191</v>
      </c>
    </row>
    <row r="311" spans="1:8" x14ac:dyDescent="0.2">
      <c r="A311" t="s">
        <v>75</v>
      </c>
      <c r="B311" t="s">
        <v>150</v>
      </c>
      <c r="C311" s="15" t="s">
        <v>162</v>
      </c>
      <c r="D311" s="32">
        <v>13.6</v>
      </c>
      <c r="E311" s="32">
        <v>0</v>
      </c>
      <c r="F311" s="32">
        <v>0</v>
      </c>
      <c r="G311" s="32">
        <v>0</v>
      </c>
      <c r="H311" s="15" t="s">
        <v>191</v>
      </c>
    </row>
    <row r="312" spans="1:8" x14ac:dyDescent="0.2">
      <c r="A312" t="s">
        <v>77</v>
      </c>
      <c r="B312" t="s">
        <v>151</v>
      </c>
      <c r="C312" s="15" t="s">
        <v>162</v>
      </c>
      <c r="D312" s="32">
        <v>16.299999999999997</v>
      </c>
      <c r="E312" s="32">
        <v>0</v>
      </c>
      <c r="F312" s="32">
        <v>0</v>
      </c>
      <c r="G312" s="32">
        <v>0</v>
      </c>
      <c r="H312" s="15" t="s">
        <v>191</v>
      </c>
    </row>
    <row r="313" spans="1:8" x14ac:dyDescent="0.2">
      <c r="A313" t="s">
        <v>93</v>
      </c>
      <c r="B313" t="s">
        <v>150</v>
      </c>
      <c r="C313" s="15" t="s">
        <v>162</v>
      </c>
      <c r="D313" s="32">
        <v>24</v>
      </c>
      <c r="E313" s="32">
        <v>0</v>
      </c>
      <c r="F313" s="32">
        <v>0</v>
      </c>
      <c r="G313" s="32">
        <v>0</v>
      </c>
      <c r="H313" s="15" t="s">
        <v>191</v>
      </c>
    </row>
    <row r="314" spans="1:8" x14ac:dyDescent="0.2">
      <c r="A314" t="s">
        <v>13</v>
      </c>
      <c r="B314" t="s">
        <v>150</v>
      </c>
      <c r="C314" s="15" t="s">
        <v>162</v>
      </c>
      <c r="D314" s="32">
        <v>201.04999999999995</v>
      </c>
      <c r="E314" s="32">
        <v>0</v>
      </c>
      <c r="F314" s="32">
        <v>198040</v>
      </c>
      <c r="G314" s="32">
        <v>0</v>
      </c>
      <c r="H314" s="15" t="s">
        <v>191</v>
      </c>
    </row>
    <row r="315" spans="1:8" x14ac:dyDescent="0.2">
      <c r="A315" t="s">
        <v>24</v>
      </c>
      <c r="B315" t="s">
        <v>150</v>
      </c>
      <c r="C315" s="15" t="s">
        <v>162</v>
      </c>
      <c r="D315" s="32">
        <v>129.41666666666669</v>
      </c>
      <c r="E315" s="32">
        <v>0</v>
      </c>
      <c r="F315" s="32">
        <v>0</v>
      </c>
      <c r="G315" s="32">
        <v>0</v>
      </c>
      <c r="H315" s="15" t="s">
        <v>191</v>
      </c>
    </row>
    <row r="316" spans="1:8" x14ac:dyDescent="0.2">
      <c r="A316" t="s">
        <v>3</v>
      </c>
      <c r="B316" t="s">
        <v>149</v>
      </c>
      <c r="C316" s="15" t="s">
        <v>162</v>
      </c>
      <c r="D316" s="32">
        <v>144.33333333333337</v>
      </c>
      <c r="E316" s="32">
        <v>0</v>
      </c>
      <c r="F316" s="32">
        <v>51561.600000000006</v>
      </c>
      <c r="G316" s="32">
        <v>0</v>
      </c>
      <c r="H316" s="15" t="s">
        <v>191</v>
      </c>
    </row>
    <row r="317" spans="1:8" x14ac:dyDescent="0.2">
      <c r="A317" t="s">
        <v>47</v>
      </c>
      <c r="B317" t="s">
        <v>150</v>
      </c>
      <c r="C317" s="15" t="s">
        <v>162</v>
      </c>
      <c r="D317" s="32">
        <v>28.1</v>
      </c>
      <c r="E317" s="32">
        <v>0</v>
      </c>
      <c r="F317" s="32">
        <v>0</v>
      </c>
      <c r="G317" s="32">
        <v>0</v>
      </c>
      <c r="H317" s="15" t="s">
        <v>191</v>
      </c>
    </row>
    <row r="318" spans="1:8" x14ac:dyDescent="0.2">
      <c r="A318" t="s">
        <v>92</v>
      </c>
      <c r="B318" t="s">
        <v>150</v>
      </c>
      <c r="C318" s="15" t="s">
        <v>162</v>
      </c>
      <c r="D318" s="32">
        <v>6.4</v>
      </c>
      <c r="E318" s="32">
        <v>0</v>
      </c>
      <c r="F318" s="32">
        <v>0</v>
      </c>
      <c r="G318" s="32">
        <v>0</v>
      </c>
      <c r="H318" s="15" t="s">
        <v>191</v>
      </c>
    </row>
    <row r="319" spans="1:8" x14ac:dyDescent="0.2">
      <c r="A319" t="s">
        <v>32</v>
      </c>
      <c r="B319" t="s">
        <v>152</v>
      </c>
      <c r="C319" s="15" t="s">
        <v>162</v>
      </c>
      <c r="D319" s="32">
        <v>22.916666666666664</v>
      </c>
      <c r="E319" s="32">
        <v>0</v>
      </c>
      <c r="F319" s="32">
        <v>9778</v>
      </c>
      <c r="G319" s="32">
        <v>0</v>
      </c>
      <c r="H319" s="15" t="s">
        <v>191</v>
      </c>
    </row>
    <row r="320" spans="1:8" x14ac:dyDescent="0.2">
      <c r="A320" t="s">
        <v>6</v>
      </c>
      <c r="B320" t="s">
        <v>149</v>
      </c>
      <c r="C320" s="15" t="s">
        <v>162</v>
      </c>
      <c r="D320" s="32">
        <v>147</v>
      </c>
      <c r="E320" s="32">
        <v>0</v>
      </c>
      <c r="F320" s="32">
        <v>0</v>
      </c>
      <c r="G320" s="32">
        <v>0</v>
      </c>
      <c r="H320" s="15" t="s">
        <v>191</v>
      </c>
    </row>
    <row r="321" spans="1:8" x14ac:dyDescent="0.2">
      <c r="A321" t="s">
        <v>29</v>
      </c>
      <c r="B321" t="s">
        <v>149</v>
      </c>
      <c r="C321" s="15" t="s">
        <v>162</v>
      </c>
      <c r="D321" s="32">
        <v>2.3833333333333333</v>
      </c>
      <c r="E321" s="32">
        <v>0</v>
      </c>
      <c r="F321" s="32">
        <v>0</v>
      </c>
      <c r="G321" s="32">
        <v>0</v>
      </c>
      <c r="H321" s="15" t="s">
        <v>191</v>
      </c>
    </row>
    <row r="322" spans="1:8" x14ac:dyDescent="0.2">
      <c r="A322" t="s">
        <v>38</v>
      </c>
      <c r="B322" t="s">
        <v>150</v>
      </c>
      <c r="C322" s="15" t="s">
        <v>162</v>
      </c>
      <c r="D322" s="32">
        <v>54</v>
      </c>
      <c r="E322" s="32">
        <v>0</v>
      </c>
      <c r="F322" s="32">
        <v>24405</v>
      </c>
      <c r="G322" s="32">
        <v>0</v>
      </c>
      <c r="H322" s="15" t="s">
        <v>191</v>
      </c>
    </row>
    <row r="323" spans="1:8" x14ac:dyDescent="0.2">
      <c r="A323" t="s">
        <v>192</v>
      </c>
      <c r="B323" t="s">
        <v>150</v>
      </c>
      <c r="C323" s="15" t="s">
        <v>162</v>
      </c>
      <c r="D323" s="32">
        <v>5.4</v>
      </c>
      <c r="E323" s="32">
        <v>0</v>
      </c>
      <c r="F323" s="32">
        <v>0</v>
      </c>
      <c r="G323" s="32">
        <v>0</v>
      </c>
      <c r="H323" s="15" t="s">
        <v>191</v>
      </c>
    </row>
    <row r="324" spans="1:8" x14ac:dyDescent="0.2">
      <c r="A324" t="s">
        <v>187</v>
      </c>
      <c r="B324" t="s">
        <v>150</v>
      </c>
      <c r="C324" s="15" t="s">
        <v>162</v>
      </c>
      <c r="D324" s="32">
        <v>145.75</v>
      </c>
      <c r="E324" s="32">
        <v>0</v>
      </c>
      <c r="F324" s="32">
        <v>22155</v>
      </c>
      <c r="G324" s="32">
        <v>0</v>
      </c>
      <c r="H324" s="15" t="s">
        <v>191</v>
      </c>
    </row>
    <row r="325" spans="1:8" x14ac:dyDescent="0.2">
      <c r="A325" t="s">
        <v>177</v>
      </c>
      <c r="B325" t="s">
        <v>153</v>
      </c>
      <c r="C325" s="15" t="s">
        <v>162</v>
      </c>
      <c r="D325" s="32">
        <v>110.3</v>
      </c>
      <c r="E325" s="32">
        <v>0</v>
      </c>
      <c r="F325" s="32">
        <v>2290</v>
      </c>
      <c r="G325" s="32">
        <v>0</v>
      </c>
      <c r="H325" s="15" t="s">
        <v>191</v>
      </c>
    </row>
    <row r="326" spans="1:8" x14ac:dyDescent="0.2">
      <c r="A326" t="s">
        <v>165</v>
      </c>
      <c r="B326" t="s">
        <v>150</v>
      </c>
      <c r="C326" s="15" t="s">
        <v>162</v>
      </c>
      <c r="D326" s="32">
        <v>9</v>
      </c>
      <c r="E326" s="32">
        <v>0</v>
      </c>
      <c r="G326" s="32">
        <v>0</v>
      </c>
      <c r="H326" s="15" t="s">
        <v>191</v>
      </c>
    </row>
    <row r="327" spans="1:8" x14ac:dyDescent="0.2">
      <c r="A327" t="s">
        <v>185</v>
      </c>
      <c r="B327" t="s">
        <v>151</v>
      </c>
      <c r="C327" s="15" t="s">
        <v>162</v>
      </c>
      <c r="D327" s="32">
        <v>41.6</v>
      </c>
      <c r="E327" s="32">
        <v>0</v>
      </c>
      <c r="F327" s="32">
        <v>45088</v>
      </c>
      <c r="G327" s="32">
        <v>0</v>
      </c>
      <c r="H327" s="15" t="s">
        <v>191</v>
      </c>
    </row>
    <row r="328" spans="1:8" x14ac:dyDescent="0.2">
      <c r="A328" t="s">
        <v>113</v>
      </c>
      <c r="B328" t="s">
        <v>150</v>
      </c>
      <c r="C328" s="15" t="s">
        <v>162</v>
      </c>
      <c r="D328" s="32">
        <v>317.61666666666673</v>
      </c>
      <c r="E328" s="32">
        <v>0</v>
      </c>
      <c r="F328" s="32">
        <v>143535</v>
      </c>
      <c r="G328" s="32">
        <v>0</v>
      </c>
      <c r="H328" s="15" t="s">
        <v>191</v>
      </c>
    </row>
    <row r="329" spans="1:8" x14ac:dyDescent="0.2">
      <c r="A329" t="s">
        <v>36</v>
      </c>
      <c r="B329" t="s">
        <v>152</v>
      </c>
      <c r="C329" s="15" t="s">
        <v>162</v>
      </c>
      <c r="D329" s="32">
        <v>2</v>
      </c>
      <c r="E329" s="32">
        <v>0</v>
      </c>
      <c r="F329" s="32">
        <v>2289</v>
      </c>
      <c r="G329" s="32">
        <v>0</v>
      </c>
      <c r="H329" s="15" t="s">
        <v>191</v>
      </c>
    </row>
    <row r="330" spans="1:8" x14ac:dyDescent="0.2">
      <c r="A330" t="s">
        <v>80</v>
      </c>
      <c r="B330" t="s">
        <v>150</v>
      </c>
      <c r="C330" s="15" t="s">
        <v>162</v>
      </c>
      <c r="D330" s="32">
        <v>246.28333333333333</v>
      </c>
      <c r="E330" s="32">
        <v>0</v>
      </c>
      <c r="F330" s="32">
        <v>104670</v>
      </c>
      <c r="G330" s="32">
        <v>0</v>
      </c>
      <c r="H330" s="15" t="s">
        <v>191</v>
      </c>
    </row>
    <row r="331" spans="1:8" x14ac:dyDescent="0.2">
      <c r="A331" t="s">
        <v>178</v>
      </c>
      <c r="B331" t="s">
        <v>153</v>
      </c>
      <c r="C331" s="15" t="s">
        <v>162</v>
      </c>
      <c r="D331" s="32">
        <v>1660.1833333333332</v>
      </c>
      <c r="E331" s="32">
        <v>0</v>
      </c>
      <c r="F331" s="32">
        <v>923580</v>
      </c>
      <c r="G331" s="32">
        <v>0</v>
      </c>
      <c r="H331" s="15" t="s">
        <v>191</v>
      </c>
    </row>
    <row r="332" spans="1:8" x14ac:dyDescent="0.2">
      <c r="A332" t="s">
        <v>25</v>
      </c>
      <c r="B332" t="s">
        <v>150</v>
      </c>
      <c r="C332" s="15" t="s">
        <v>162</v>
      </c>
      <c r="D332" s="32">
        <v>48.600000000000009</v>
      </c>
      <c r="E332" s="32">
        <v>0</v>
      </c>
      <c r="F332" s="32">
        <v>0</v>
      </c>
      <c r="G332" s="32">
        <v>0</v>
      </c>
      <c r="H332" s="15" t="s">
        <v>191</v>
      </c>
    </row>
    <row r="333" spans="1:8" x14ac:dyDescent="0.2">
      <c r="A333" t="s">
        <v>107</v>
      </c>
      <c r="B333" t="s">
        <v>150</v>
      </c>
      <c r="C333" s="15" t="s">
        <v>162</v>
      </c>
      <c r="D333" s="32">
        <v>10</v>
      </c>
      <c r="E333" s="32">
        <v>0</v>
      </c>
      <c r="F333" s="32">
        <v>3850</v>
      </c>
      <c r="G333" s="32">
        <v>0</v>
      </c>
      <c r="H333" s="15" t="s">
        <v>191</v>
      </c>
    </row>
    <row r="334" spans="1:8" x14ac:dyDescent="0.2">
      <c r="A334" t="s">
        <v>174</v>
      </c>
      <c r="B334" t="s">
        <v>149</v>
      </c>
      <c r="C334" s="15" t="s">
        <v>162</v>
      </c>
      <c r="D334" s="32">
        <v>53.65</v>
      </c>
      <c r="E334" s="32">
        <v>0</v>
      </c>
      <c r="F334" s="32">
        <v>0</v>
      </c>
      <c r="G334" s="32">
        <v>0</v>
      </c>
      <c r="H334" s="15" t="s">
        <v>191</v>
      </c>
    </row>
    <row r="335" spans="1:8" x14ac:dyDescent="0.2">
      <c r="A335" t="s">
        <v>74</v>
      </c>
      <c r="B335" t="s">
        <v>152</v>
      </c>
      <c r="C335" s="15" t="s">
        <v>162</v>
      </c>
      <c r="D335" s="32">
        <v>6.55</v>
      </c>
      <c r="E335" s="32">
        <v>0</v>
      </c>
      <c r="F335" s="32">
        <v>1580</v>
      </c>
      <c r="G335" s="32">
        <v>0</v>
      </c>
      <c r="H335" s="15" t="s">
        <v>191</v>
      </c>
    </row>
    <row r="336" spans="1:8" x14ac:dyDescent="0.2">
      <c r="A336" t="s">
        <v>193</v>
      </c>
      <c r="B336" t="s">
        <v>153</v>
      </c>
      <c r="C336" s="15" t="s">
        <v>162</v>
      </c>
      <c r="D336" s="32">
        <v>22.116666666666667</v>
      </c>
      <c r="E336" s="32">
        <v>0</v>
      </c>
      <c r="F336" s="32">
        <v>1920</v>
      </c>
      <c r="G336" s="32">
        <v>0</v>
      </c>
      <c r="H336" s="15" t="s">
        <v>191</v>
      </c>
    </row>
    <row r="337" spans="1:8" x14ac:dyDescent="0.2">
      <c r="A337" t="s">
        <v>42</v>
      </c>
      <c r="B337" t="s">
        <v>149</v>
      </c>
      <c r="C337" s="15" t="s">
        <v>161</v>
      </c>
      <c r="D337" s="32">
        <v>63.083333333333329</v>
      </c>
      <c r="E337" s="32">
        <v>0</v>
      </c>
      <c r="F337" s="32">
        <v>0</v>
      </c>
      <c r="G337" s="32">
        <v>0</v>
      </c>
      <c r="H337" t="s">
        <v>195</v>
      </c>
    </row>
    <row r="338" spans="1:8" x14ac:dyDescent="0.2">
      <c r="A338" t="s">
        <v>4</v>
      </c>
      <c r="B338" t="s">
        <v>149</v>
      </c>
      <c r="C338" s="15" t="s">
        <v>161</v>
      </c>
      <c r="D338" s="32">
        <v>29.75</v>
      </c>
      <c r="E338" s="32">
        <v>0</v>
      </c>
      <c r="F338" s="32">
        <v>5040</v>
      </c>
      <c r="G338" s="32">
        <v>0</v>
      </c>
      <c r="H338" t="s">
        <v>195</v>
      </c>
    </row>
    <row r="339" spans="1:8" x14ac:dyDescent="0.2">
      <c r="A339" t="s">
        <v>2</v>
      </c>
      <c r="B339" t="s">
        <v>149</v>
      </c>
      <c r="C339" s="15" t="s">
        <v>161</v>
      </c>
      <c r="D339" s="32">
        <v>9</v>
      </c>
      <c r="E339" s="32">
        <v>0</v>
      </c>
      <c r="F339" s="32">
        <v>3404</v>
      </c>
      <c r="G339" s="32">
        <v>0</v>
      </c>
      <c r="H339" t="s">
        <v>195</v>
      </c>
    </row>
    <row r="340" spans="1:8" x14ac:dyDescent="0.2">
      <c r="A340" t="s">
        <v>1</v>
      </c>
      <c r="B340" t="s">
        <v>149</v>
      </c>
      <c r="C340" s="15" t="s">
        <v>161</v>
      </c>
      <c r="D340" s="32">
        <v>26.033333333333328</v>
      </c>
      <c r="E340" s="32">
        <v>0</v>
      </c>
      <c r="F340" s="32">
        <v>6730</v>
      </c>
      <c r="G340" s="32">
        <v>0</v>
      </c>
      <c r="H340" t="s">
        <v>195</v>
      </c>
    </row>
    <row r="341" spans="1:8" x14ac:dyDescent="0.2">
      <c r="A341" t="s">
        <v>27</v>
      </c>
      <c r="B341" t="s">
        <v>149</v>
      </c>
      <c r="C341" s="15" t="s">
        <v>161</v>
      </c>
      <c r="D341" s="32">
        <v>544.01666666666665</v>
      </c>
      <c r="E341" s="32">
        <v>0</v>
      </c>
      <c r="F341" s="32">
        <v>0</v>
      </c>
      <c r="G341" s="32">
        <v>0</v>
      </c>
      <c r="H341" t="s">
        <v>195</v>
      </c>
    </row>
    <row r="342" spans="1:8" x14ac:dyDescent="0.2">
      <c r="A342" t="s">
        <v>23</v>
      </c>
      <c r="B342" t="s">
        <v>149</v>
      </c>
      <c r="C342" s="15" t="s">
        <v>161</v>
      </c>
      <c r="D342" s="32">
        <v>70.333333333333343</v>
      </c>
      <c r="E342" s="32">
        <v>0</v>
      </c>
      <c r="F342" s="32">
        <v>0</v>
      </c>
      <c r="G342" s="32">
        <v>0</v>
      </c>
      <c r="H342" t="s">
        <v>195</v>
      </c>
    </row>
    <row r="343" spans="1:8" x14ac:dyDescent="0.2">
      <c r="A343" t="s">
        <v>182</v>
      </c>
      <c r="B343" t="s">
        <v>149</v>
      </c>
      <c r="C343" s="15" t="s">
        <v>161</v>
      </c>
      <c r="D343" s="32">
        <v>1.6666666666666667</v>
      </c>
      <c r="E343" s="32">
        <v>0</v>
      </c>
      <c r="F343" s="32">
        <v>0</v>
      </c>
      <c r="G343" s="32">
        <v>0</v>
      </c>
      <c r="H343" t="s">
        <v>195</v>
      </c>
    </row>
    <row r="344" spans="1:8" x14ac:dyDescent="0.2">
      <c r="A344" t="s">
        <v>3</v>
      </c>
      <c r="B344" t="s">
        <v>149</v>
      </c>
      <c r="C344" s="15" t="s">
        <v>161</v>
      </c>
      <c r="D344" s="32">
        <v>1.05</v>
      </c>
      <c r="E344" s="32">
        <v>0</v>
      </c>
      <c r="F344" s="32">
        <v>738</v>
      </c>
      <c r="G344" s="32">
        <v>0</v>
      </c>
      <c r="H344" t="s">
        <v>195</v>
      </c>
    </row>
    <row r="345" spans="1:8" x14ac:dyDescent="0.2">
      <c r="A345" t="s">
        <v>6</v>
      </c>
      <c r="B345" t="s">
        <v>149</v>
      </c>
      <c r="C345" s="15" t="s">
        <v>161</v>
      </c>
      <c r="D345" s="32">
        <v>129</v>
      </c>
      <c r="E345" s="32">
        <v>0</v>
      </c>
      <c r="F345" s="32">
        <v>0</v>
      </c>
      <c r="G345" s="32">
        <v>0</v>
      </c>
      <c r="H345" t="s">
        <v>195</v>
      </c>
    </row>
    <row r="346" spans="1:8" x14ac:dyDescent="0.2">
      <c r="A346" t="s">
        <v>194</v>
      </c>
      <c r="B346" t="s">
        <v>149</v>
      </c>
      <c r="C346" s="15" t="s">
        <v>161</v>
      </c>
      <c r="D346" s="32">
        <v>83.9</v>
      </c>
      <c r="E346" s="32">
        <v>0</v>
      </c>
      <c r="F346" s="32">
        <v>0</v>
      </c>
      <c r="G346" s="32">
        <v>0</v>
      </c>
      <c r="H346" t="s">
        <v>195</v>
      </c>
    </row>
    <row r="347" spans="1:8" x14ac:dyDescent="0.2">
      <c r="A347" t="s">
        <v>42</v>
      </c>
      <c r="B347" t="s">
        <v>149</v>
      </c>
      <c r="C347" s="15" t="s">
        <v>162</v>
      </c>
      <c r="D347" s="32">
        <v>7.75</v>
      </c>
      <c r="E347" s="32">
        <v>0</v>
      </c>
      <c r="F347" s="32">
        <v>0</v>
      </c>
      <c r="G347" s="32">
        <v>0</v>
      </c>
      <c r="H347" t="s">
        <v>195</v>
      </c>
    </row>
    <row r="348" spans="1:8" x14ac:dyDescent="0.2">
      <c r="A348" t="s">
        <v>4</v>
      </c>
      <c r="B348" t="s">
        <v>149</v>
      </c>
      <c r="C348" s="15" t="s">
        <v>162</v>
      </c>
      <c r="D348" s="32">
        <v>6.5</v>
      </c>
      <c r="E348" s="32">
        <v>0</v>
      </c>
      <c r="F348" s="32">
        <v>1148</v>
      </c>
      <c r="G348" s="32">
        <v>0</v>
      </c>
      <c r="H348" t="s">
        <v>195</v>
      </c>
    </row>
    <row r="349" spans="1:8" x14ac:dyDescent="0.2">
      <c r="A349" t="s">
        <v>2</v>
      </c>
      <c r="B349" t="s">
        <v>149</v>
      </c>
      <c r="C349" s="15" t="s">
        <v>162</v>
      </c>
      <c r="D349" s="32">
        <v>95.76666666666668</v>
      </c>
      <c r="E349" s="32">
        <v>0</v>
      </c>
      <c r="F349" s="32">
        <v>32462</v>
      </c>
      <c r="G349" s="32">
        <v>0</v>
      </c>
      <c r="H349" t="s">
        <v>195</v>
      </c>
    </row>
    <row r="350" spans="1:8" x14ac:dyDescent="0.2">
      <c r="A350" t="s">
        <v>27</v>
      </c>
      <c r="B350" t="s">
        <v>149</v>
      </c>
      <c r="C350" s="15" t="s">
        <v>162</v>
      </c>
      <c r="D350" s="32">
        <v>42.5</v>
      </c>
      <c r="E350" s="32">
        <v>0</v>
      </c>
      <c r="F350" s="32">
        <v>0</v>
      </c>
      <c r="G350" s="32">
        <v>0</v>
      </c>
      <c r="H350" t="s">
        <v>195</v>
      </c>
    </row>
    <row r="351" spans="1:8" x14ac:dyDescent="0.2">
      <c r="A351" t="s">
        <v>184</v>
      </c>
      <c r="B351" t="s">
        <v>151</v>
      </c>
      <c r="C351" s="15" t="s">
        <v>162</v>
      </c>
      <c r="D351" s="32">
        <v>335.94999999999993</v>
      </c>
      <c r="E351" s="32">
        <v>0</v>
      </c>
      <c r="F351" s="32">
        <v>175833</v>
      </c>
      <c r="G351" s="32">
        <v>0</v>
      </c>
      <c r="H351" t="s">
        <v>195</v>
      </c>
    </row>
    <row r="352" spans="1:8" x14ac:dyDescent="0.2">
      <c r="A352" t="s">
        <v>10</v>
      </c>
      <c r="B352" t="s">
        <v>150</v>
      </c>
      <c r="C352" s="15" t="s">
        <v>162</v>
      </c>
      <c r="D352" s="32">
        <v>70.5</v>
      </c>
      <c r="E352" s="32">
        <v>0</v>
      </c>
      <c r="F352" s="32">
        <v>377479</v>
      </c>
      <c r="G352" s="32">
        <v>0</v>
      </c>
      <c r="H352" t="s">
        <v>195</v>
      </c>
    </row>
    <row r="353" spans="1:8" x14ac:dyDescent="0.2">
      <c r="A353" t="s">
        <v>75</v>
      </c>
      <c r="B353" t="s">
        <v>150</v>
      </c>
      <c r="C353" s="15" t="s">
        <v>162</v>
      </c>
      <c r="D353" s="32">
        <v>2.35</v>
      </c>
      <c r="E353" s="32">
        <v>0</v>
      </c>
      <c r="F353" s="32">
        <v>0</v>
      </c>
      <c r="G353" s="32">
        <v>0</v>
      </c>
      <c r="H353" t="s">
        <v>195</v>
      </c>
    </row>
    <row r="354" spans="1:8" x14ac:dyDescent="0.2">
      <c r="A354" t="s">
        <v>163</v>
      </c>
      <c r="B354" t="s">
        <v>150</v>
      </c>
      <c r="C354" s="15" t="s">
        <v>162</v>
      </c>
      <c r="D354" s="32">
        <v>2</v>
      </c>
      <c r="E354" s="32">
        <v>0</v>
      </c>
      <c r="F354" s="32">
        <v>0</v>
      </c>
      <c r="G354" s="32">
        <v>0</v>
      </c>
      <c r="H354" t="s">
        <v>195</v>
      </c>
    </row>
    <row r="355" spans="1:8" x14ac:dyDescent="0.2">
      <c r="A355" t="s">
        <v>77</v>
      </c>
      <c r="B355" t="s">
        <v>151</v>
      </c>
      <c r="C355" s="15" t="s">
        <v>162</v>
      </c>
      <c r="D355" s="32">
        <v>6.2166666666666668</v>
      </c>
      <c r="E355" s="32">
        <v>0</v>
      </c>
      <c r="F355" s="32">
        <v>0</v>
      </c>
      <c r="G355" s="32">
        <v>0</v>
      </c>
      <c r="H355" t="s">
        <v>195</v>
      </c>
    </row>
    <row r="356" spans="1:8" x14ac:dyDescent="0.2">
      <c r="A356" t="s">
        <v>93</v>
      </c>
      <c r="B356" t="s">
        <v>150</v>
      </c>
      <c r="C356" s="15" t="s">
        <v>162</v>
      </c>
      <c r="D356" s="32">
        <v>12</v>
      </c>
      <c r="E356" s="32">
        <v>0</v>
      </c>
      <c r="F356" s="32">
        <v>0</v>
      </c>
      <c r="G356" s="32">
        <v>0</v>
      </c>
      <c r="H356" t="s">
        <v>195</v>
      </c>
    </row>
    <row r="357" spans="1:8" x14ac:dyDescent="0.2">
      <c r="A357" t="s">
        <v>14</v>
      </c>
      <c r="B357" t="s">
        <v>150</v>
      </c>
      <c r="C357" s="15" t="s">
        <v>162</v>
      </c>
      <c r="D357" s="32">
        <v>3</v>
      </c>
      <c r="E357" s="32">
        <v>0</v>
      </c>
      <c r="F357" s="32">
        <v>0</v>
      </c>
      <c r="G357" s="32">
        <v>0</v>
      </c>
      <c r="H357" t="s">
        <v>195</v>
      </c>
    </row>
    <row r="358" spans="1:8" x14ac:dyDescent="0.2">
      <c r="A358" t="s">
        <v>13</v>
      </c>
      <c r="B358" t="s">
        <v>150</v>
      </c>
      <c r="C358" s="15" t="s">
        <v>162</v>
      </c>
      <c r="D358" s="32">
        <v>172.35</v>
      </c>
      <c r="E358" s="32">
        <v>0</v>
      </c>
      <c r="F358" s="32">
        <v>178740</v>
      </c>
      <c r="G358" s="32">
        <v>0</v>
      </c>
      <c r="H358" t="s">
        <v>195</v>
      </c>
    </row>
    <row r="359" spans="1:8" x14ac:dyDescent="0.2">
      <c r="A359" t="s">
        <v>24</v>
      </c>
      <c r="B359" t="s">
        <v>150</v>
      </c>
      <c r="C359" s="15" t="s">
        <v>162</v>
      </c>
      <c r="D359" s="32">
        <v>164.86666666666667</v>
      </c>
      <c r="E359" s="32">
        <v>0</v>
      </c>
      <c r="F359" s="32">
        <v>0</v>
      </c>
      <c r="G359" s="32">
        <v>0</v>
      </c>
      <c r="H359" t="s">
        <v>195</v>
      </c>
    </row>
    <row r="360" spans="1:8" x14ac:dyDescent="0.2">
      <c r="A360" t="s">
        <v>3</v>
      </c>
      <c r="B360" t="s">
        <v>149</v>
      </c>
      <c r="C360" s="15" t="s">
        <v>162</v>
      </c>
      <c r="D360" s="32">
        <v>45.599999999999994</v>
      </c>
      <c r="E360" s="32">
        <v>0</v>
      </c>
      <c r="F360" s="32">
        <v>17736.599999999999</v>
      </c>
      <c r="G360" s="32">
        <v>0</v>
      </c>
      <c r="H360" t="s">
        <v>195</v>
      </c>
    </row>
    <row r="361" spans="1:8" x14ac:dyDescent="0.2">
      <c r="A361" t="s">
        <v>47</v>
      </c>
      <c r="B361" t="s">
        <v>150</v>
      </c>
      <c r="C361" s="15" t="s">
        <v>162</v>
      </c>
      <c r="D361" s="32">
        <v>119.13333333333333</v>
      </c>
      <c r="E361" s="32">
        <v>0</v>
      </c>
      <c r="F361" s="32">
        <v>0</v>
      </c>
      <c r="G361" s="32">
        <v>0</v>
      </c>
      <c r="H361" t="s">
        <v>195</v>
      </c>
    </row>
    <row r="362" spans="1:8" x14ac:dyDescent="0.2">
      <c r="A362" t="s">
        <v>92</v>
      </c>
      <c r="B362" t="s">
        <v>150</v>
      </c>
      <c r="C362" s="15" t="s">
        <v>162</v>
      </c>
      <c r="D362" s="32">
        <v>6.333333333333333</v>
      </c>
      <c r="E362" s="32">
        <v>0</v>
      </c>
      <c r="F362" s="32">
        <v>0</v>
      </c>
      <c r="G362" s="32">
        <v>0</v>
      </c>
      <c r="H362" t="s">
        <v>195</v>
      </c>
    </row>
    <row r="363" spans="1:8" x14ac:dyDescent="0.2">
      <c r="A363" t="s">
        <v>6</v>
      </c>
      <c r="B363" t="s">
        <v>149</v>
      </c>
      <c r="C363" s="15" t="s">
        <v>162</v>
      </c>
      <c r="D363" s="32">
        <v>100</v>
      </c>
      <c r="E363" s="32">
        <v>0</v>
      </c>
      <c r="F363" s="32">
        <v>0</v>
      </c>
      <c r="G363" s="32">
        <v>0</v>
      </c>
      <c r="H363" t="s">
        <v>195</v>
      </c>
    </row>
    <row r="364" spans="1:8" x14ac:dyDescent="0.2">
      <c r="A364" t="s">
        <v>38</v>
      </c>
      <c r="B364" t="s">
        <v>150</v>
      </c>
      <c r="C364" s="15" t="s">
        <v>162</v>
      </c>
      <c r="D364" s="32">
        <v>36</v>
      </c>
      <c r="E364" s="32">
        <v>0</v>
      </c>
      <c r="F364" s="32">
        <v>18900</v>
      </c>
      <c r="G364" s="32">
        <v>0</v>
      </c>
      <c r="H364" t="s">
        <v>195</v>
      </c>
    </row>
    <row r="365" spans="1:8" x14ac:dyDescent="0.2">
      <c r="A365" t="s">
        <v>164</v>
      </c>
      <c r="B365" t="s">
        <v>150</v>
      </c>
      <c r="C365" s="15" t="s">
        <v>162</v>
      </c>
      <c r="D365" s="32">
        <v>5.666666666666667</v>
      </c>
      <c r="E365" s="32">
        <v>0</v>
      </c>
      <c r="F365" s="32">
        <v>0</v>
      </c>
      <c r="G365" s="32">
        <v>0</v>
      </c>
      <c r="H365" t="s">
        <v>195</v>
      </c>
    </row>
    <row r="366" spans="1:8" x14ac:dyDescent="0.2">
      <c r="A366" t="s">
        <v>187</v>
      </c>
      <c r="B366" t="s">
        <v>150</v>
      </c>
      <c r="C366" s="15" t="s">
        <v>162</v>
      </c>
      <c r="D366" s="32">
        <v>123.75</v>
      </c>
      <c r="E366" s="32">
        <v>0</v>
      </c>
      <c r="F366" s="32">
        <v>7125</v>
      </c>
      <c r="G366" s="32">
        <v>0</v>
      </c>
      <c r="H366" t="s">
        <v>195</v>
      </c>
    </row>
    <row r="367" spans="1:8" x14ac:dyDescent="0.2">
      <c r="A367" t="s">
        <v>177</v>
      </c>
      <c r="B367" t="s">
        <v>153</v>
      </c>
      <c r="C367" s="15" t="s">
        <v>162</v>
      </c>
      <c r="D367" s="32">
        <v>90.166666666666657</v>
      </c>
      <c r="E367" s="32">
        <v>0</v>
      </c>
      <c r="F367" s="32">
        <v>2201</v>
      </c>
      <c r="G367" s="32">
        <v>0</v>
      </c>
      <c r="H367" t="s">
        <v>195</v>
      </c>
    </row>
    <row r="368" spans="1:8" x14ac:dyDescent="0.2">
      <c r="A368" t="s">
        <v>165</v>
      </c>
      <c r="B368" t="s">
        <v>150</v>
      </c>
      <c r="C368" s="15" t="s">
        <v>162</v>
      </c>
      <c r="D368" s="32">
        <v>24</v>
      </c>
      <c r="E368" s="32">
        <v>0</v>
      </c>
      <c r="F368" s="32">
        <v>0</v>
      </c>
      <c r="G368" s="32">
        <v>0</v>
      </c>
      <c r="H368" t="s">
        <v>195</v>
      </c>
    </row>
    <row r="369" spans="1:8" x14ac:dyDescent="0.2">
      <c r="A369" t="s">
        <v>185</v>
      </c>
      <c r="B369" t="s">
        <v>151</v>
      </c>
      <c r="C369" s="15" t="s">
        <v>162</v>
      </c>
      <c r="D369" s="32">
        <v>60.533333333333331</v>
      </c>
      <c r="E369" s="32">
        <v>0</v>
      </c>
      <c r="F369" s="32">
        <v>63271</v>
      </c>
      <c r="G369" s="32">
        <v>0</v>
      </c>
      <c r="H369" t="s">
        <v>195</v>
      </c>
    </row>
    <row r="370" spans="1:8" x14ac:dyDescent="0.2">
      <c r="A370" t="s">
        <v>113</v>
      </c>
      <c r="B370" t="s">
        <v>150</v>
      </c>
      <c r="C370" s="15" t="s">
        <v>162</v>
      </c>
      <c r="D370" s="32">
        <v>124.66666666666666</v>
      </c>
      <c r="E370" s="32">
        <v>0</v>
      </c>
      <c r="F370" s="32">
        <v>53805</v>
      </c>
      <c r="G370" s="32">
        <v>0</v>
      </c>
      <c r="H370" t="s">
        <v>195</v>
      </c>
    </row>
    <row r="371" spans="1:8" x14ac:dyDescent="0.2">
      <c r="A371" t="s">
        <v>36</v>
      </c>
      <c r="B371" t="s">
        <v>152</v>
      </c>
      <c r="C371" s="15" t="s">
        <v>162</v>
      </c>
      <c r="D371" s="32">
        <v>6</v>
      </c>
      <c r="E371" s="32">
        <v>0</v>
      </c>
      <c r="F371" s="32">
        <v>6325</v>
      </c>
      <c r="G371" s="32">
        <v>0</v>
      </c>
      <c r="H371" t="s">
        <v>195</v>
      </c>
    </row>
    <row r="372" spans="1:8" x14ac:dyDescent="0.2">
      <c r="A372" t="s">
        <v>80</v>
      </c>
      <c r="B372" t="s">
        <v>150</v>
      </c>
      <c r="C372" s="15" t="s">
        <v>162</v>
      </c>
      <c r="D372" s="32">
        <v>127.5</v>
      </c>
      <c r="E372" s="32">
        <v>0</v>
      </c>
      <c r="F372" s="32">
        <v>59745</v>
      </c>
      <c r="G372" s="32">
        <v>0</v>
      </c>
      <c r="H372" t="s">
        <v>195</v>
      </c>
    </row>
    <row r="373" spans="1:8" x14ac:dyDescent="0.2">
      <c r="A373" t="s">
        <v>178</v>
      </c>
      <c r="B373" t="s">
        <v>153</v>
      </c>
      <c r="C373" s="15" t="s">
        <v>162</v>
      </c>
      <c r="D373" s="32">
        <v>1640.9500000000005</v>
      </c>
      <c r="E373" s="32">
        <v>0</v>
      </c>
      <c r="F373" s="32">
        <v>915000</v>
      </c>
      <c r="G373" s="32">
        <v>0</v>
      </c>
      <c r="H373" t="s">
        <v>195</v>
      </c>
    </row>
    <row r="374" spans="1:8" x14ac:dyDescent="0.2">
      <c r="A374" t="s">
        <v>25</v>
      </c>
      <c r="B374" t="s">
        <v>150</v>
      </c>
      <c r="C374" s="15" t="s">
        <v>162</v>
      </c>
      <c r="D374" s="32">
        <v>52.483333333333327</v>
      </c>
      <c r="E374" s="32">
        <v>0</v>
      </c>
      <c r="F374" s="32">
        <v>0</v>
      </c>
      <c r="G374" s="32">
        <v>0</v>
      </c>
      <c r="H374" t="s">
        <v>195</v>
      </c>
    </row>
    <row r="375" spans="1:8" x14ac:dyDescent="0.2">
      <c r="A375" t="s">
        <v>174</v>
      </c>
      <c r="B375" t="s">
        <v>149</v>
      </c>
      <c r="C375" s="15" t="s">
        <v>162</v>
      </c>
      <c r="D375" s="32">
        <v>41.45</v>
      </c>
      <c r="E375" s="32">
        <v>0</v>
      </c>
      <c r="F375" s="32">
        <v>0</v>
      </c>
      <c r="G375" s="32">
        <v>0</v>
      </c>
      <c r="H375" t="s">
        <v>195</v>
      </c>
    </row>
    <row r="376" spans="1:8" x14ac:dyDescent="0.2">
      <c r="A376" t="s">
        <v>107</v>
      </c>
      <c r="B376" t="s">
        <v>150</v>
      </c>
      <c r="C376" s="15" t="s">
        <v>162</v>
      </c>
      <c r="D376" s="32">
        <v>6.6833333333333327</v>
      </c>
      <c r="E376" s="32">
        <v>0</v>
      </c>
      <c r="F376" s="32">
        <v>2475</v>
      </c>
      <c r="G376" s="32">
        <v>0</v>
      </c>
      <c r="H376" t="s">
        <v>195</v>
      </c>
    </row>
    <row r="377" spans="1:8" x14ac:dyDescent="0.2">
      <c r="A377" t="s">
        <v>42</v>
      </c>
      <c r="B377" t="s">
        <v>149</v>
      </c>
      <c r="C377" s="15" t="s">
        <v>161</v>
      </c>
      <c r="D377" s="32">
        <v>7.916666666666667</v>
      </c>
      <c r="E377" s="32">
        <v>0</v>
      </c>
      <c r="F377" s="32">
        <v>0</v>
      </c>
      <c r="G377" s="32">
        <v>0</v>
      </c>
      <c r="H377" s="15" t="s">
        <v>197</v>
      </c>
    </row>
    <row r="378" spans="1:8" x14ac:dyDescent="0.2">
      <c r="A378" t="s">
        <v>4</v>
      </c>
      <c r="B378" t="s">
        <v>149</v>
      </c>
      <c r="C378" s="15" t="s">
        <v>161</v>
      </c>
      <c r="D378" s="32">
        <v>14.333333333333332</v>
      </c>
      <c r="E378" s="32">
        <v>0</v>
      </c>
      <c r="F378" s="32">
        <v>2750</v>
      </c>
      <c r="G378" s="32">
        <v>0</v>
      </c>
      <c r="H378" s="15" t="s">
        <v>197</v>
      </c>
    </row>
    <row r="379" spans="1:8" x14ac:dyDescent="0.2">
      <c r="A379" t="s">
        <v>2</v>
      </c>
      <c r="B379" t="s">
        <v>149</v>
      </c>
      <c r="C379" s="15" t="s">
        <v>161</v>
      </c>
      <c r="D379" s="32">
        <v>10.7</v>
      </c>
      <c r="E379" s="32">
        <v>0</v>
      </c>
      <c r="F379" s="32">
        <v>5727</v>
      </c>
      <c r="G379" s="32">
        <v>0</v>
      </c>
      <c r="H379" s="15" t="s">
        <v>197</v>
      </c>
    </row>
    <row r="380" spans="1:8" x14ac:dyDescent="0.2">
      <c r="A380" t="s">
        <v>1</v>
      </c>
      <c r="B380" t="s">
        <v>149</v>
      </c>
      <c r="C380" s="15" t="s">
        <v>161</v>
      </c>
      <c r="D380" s="32">
        <v>17.283333333333331</v>
      </c>
      <c r="E380" s="32">
        <v>0</v>
      </c>
      <c r="F380" s="32">
        <v>4503.8855999999996</v>
      </c>
      <c r="G380" s="32">
        <v>0</v>
      </c>
      <c r="H380" s="15" t="s">
        <v>197</v>
      </c>
    </row>
    <row r="381" spans="1:8" x14ac:dyDescent="0.2">
      <c r="A381" t="s">
        <v>27</v>
      </c>
      <c r="B381" t="s">
        <v>149</v>
      </c>
      <c r="C381" s="15" t="s">
        <v>161</v>
      </c>
      <c r="D381" s="32">
        <v>450.71666666666675</v>
      </c>
      <c r="E381" s="32">
        <v>0</v>
      </c>
      <c r="F381" s="32">
        <v>0</v>
      </c>
      <c r="G381" s="32">
        <v>0</v>
      </c>
      <c r="H381" s="15" t="s">
        <v>197</v>
      </c>
    </row>
    <row r="382" spans="1:8" x14ac:dyDescent="0.2">
      <c r="A382" t="s">
        <v>23</v>
      </c>
      <c r="B382" t="s">
        <v>149</v>
      </c>
      <c r="C382" s="15" t="s">
        <v>161</v>
      </c>
      <c r="D382" s="32">
        <v>99.666666666666671</v>
      </c>
      <c r="E382" s="32">
        <v>0</v>
      </c>
      <c r="F382" s="32">
        <v>0</v>
      </c>
      <c r="G382" s="32">
        <v>0</v>
      </c>
      <c r="H382" s="15" t="s">
        <v>197</v>
      </c>
    </row>
    <row r="383" spans="1:8" x14ac:dyDescent="0.2">
      <c r="A383" t="s">
        <v>57</v>
      </c>
      <c r="B383" t="s">
        <v>149</v>
      </c>
      <c r="C383" s="15" t="s">
        <v>161</v>
      </c>
      <c r="D383" s="32">
        <v>0.83333333333333337</v>
      </c>
      <c r="E383" s="32">
        <v>0</v>
      </c>
      <c r="F383" s="32">
        <v>0</v>
      </c>
      <c r="G383" s="32">
        <v>0</v>
      </c>
      <c r="H383" s="15" t="s">
        <v>197</v>
      </c>
    </row>
    <row r="384" spans="1:8" x14ac:dyDescent="0.2">
      <c r="A384" t="s">
        <v>3</v>
      </c>
      <c r="B384" t="s">
        <v>149</v>
      </c>
      <c r="C384" s="15" t="s">
        <v>161</v>
      </c>
      <c r="D384" s="32">
        <v>6.45</v>
      </c>
      <c r="E384" s="32">
        <v>0</v>
      </c>
      <c r="F384" s="32">
        <v>5953.2</v>
      </c>
      <c r="G384" s="32">
        <v>0</v>
      </c>
      <c r="H384" s="15" t="s">
        <v>197</v>
      </c>
    </row>
    <row r="385" spans="1:8" x14ac:dyDescent="0.2">
      <c r="A385" t="s">
        <v>6</v>
      </c>
      <c r="B385" t="s">
        <v>149</v>
      </c>
      <c r="C385" s="15" t="s">
        <v>161</v>
      </c>
      <c r="D385" s="32">
        <v>60.5</v>
      </c>
      <c r="E385" s="32">
        <v>0</v>
      </c>
      <c r="F385" s="32">
        <v>0</v>
      </c>
      <c r="G385" s="32">
        <v>0</v>
      </c>
      <c r="H385" s="15" t="s">
        <v>197</v>
      </c>
    </row>
    <row r="386" spans="1:8" x14ac:dyDescent="0.2">
      <c r="A386" t="s">
        <v>194</v>
      </c>
      <c r="B386" t="s">
        <v>149</v>
      </c>
      <c r="C386" s="15" t="s">
        <v>161</v>
      </c>
      <c r="D386" s="32">
        <v>85.61666666666666</v>
      </c>
      <c r="E386" s="32">
        <v>0</v>
      </c>
      <c r="F386" s="32">
        <v>0</v>
      </c>
      <c r="G386" s="32">
        <v>0</v>
      </c>
      <c r="H386" s="15" t="s">
        <v>197</v>
      </c>
    </row>
    <row r="387" spans="1:8" x14ac:dyDescent="0.2">
      <c r="A387" t="s">
        <v>196</v>
      </c>
      <c r="B387" t="s">
        <v>150</v>
      </c>
      <c r="C387" s="15" t="s">
        <v>162</v>
      </c>
      <c r="D387" s="32">
        <v>2.5166666666666666</v>
      </c>
      <c r="E387" s="32">
        <v>0</v>
      </c>
      <c r="F387" s="32">
        <v>0</v>
      </c>
      <c r="G387" s="32">
        <v>0</v>
      </c>
      <c r="H387" s="15" t="s">
        <v>197</v>
      </c>
    </row>
    <row r="388" spans="1:8" x14ac:dyDescent="0.2">
      <c r="A388" t="s">
        <v>42</v>
      </c>
      <c r="B388" t="s">
        <v>149</v>
      </c>
      <c r="C388" s="15" t="s">
        <v>162</v>
      </c>
      <c r="D388" s="32">
        <v>6.25</v>
      </c>
      <c r="E388" s="32">
        <v>0</v>
      </c>
      <c r="F388" s="32">
        <v>0</v>
      </c>
      <c r="G388" s="32">
        <v>0</v>
      </c>
      <c r="H388" s="15" t="s">
        <v>197</v>
      </c>
    </row>
    <row r="389" spans="1:8" x14ac:dyDescent="0.2">
      <c r="A389" t="s">
        <v>2</v>
      </c>
      <c r="B389" t="s">
        <v>149</v>
      </c>
      <c r="C389" s="15" t="s">
        <v>162</v>
      </c>
      <c r="D389" s="32">
        <v>59.016666666666666</v>
      </c>
      <c r="E389" s="32">
        <v>0</v>
      </c>
      <c r="F389" s="32">
        <v>22475</v>
      </c>
      <c r="G389" s="32">
        <v>0</v>
      </c>
      <c r="H389" s="15" t="s">
        <v>197</v>
      </c>
    </row>
    <row r="390" spans="1:8" x14ac:dyDescent="0.2">
      <c r="A390" t="s">
        <v>1</v>
      </c>
      <c r="B390" t="s">
        <v>149</v>
      </c>
      <c r="C390" s="15" t="s">
        <v>162</v>
      </c>
      <c r="D390" s="32">
        <v>3.1166666666666667</v>
      </c>
      <c r="E390" s="32">
        <v>0</v>
      </c>
      <c r="F390" s="32">
        <v>847</v>
      </c>
      <c r="G390" s="32">
        <v>0</v>
      </c>
      <c r="H390" s="15" t="s">
        <v>197</v>
      </c>
    </row>
    <row r="391" spans="1:8" x14ac:dyDescent="0.2">
      <c r="A391" t="s">
        <v>27</v>
      </c>
      <c r="B391" t="s">
        <v>149</v>
      </c>
      <c r="C391" s="15" t="s">
        <v>162</v>
      </c>
      <c r="D391" s="32">
        <v>134.1</v>
      </c>
      <c r="E391" s="32">
        <v>0</v>
      </c>
      <c r="F391" s="32">
        <v>0</v>
      </c>
      <c r="G391" s="32">
        <v>0</v>
      </c>
      <c r="H391" s="15" t="s">
        <v>197</v>
      </c>
    </row>
    <row r="392" spans="1:8" x14ac:dyDescent="0.2">
      <c r="A392" t="s">
        <v>68</v>
      </c>
      <c r="B392" t="s">
        <v>151</v>
      </c>
      <c r="C392" s="15" t="s">
        <v>162</v>
      </c>
      <c r="D392" s="32">
        <v>161.48333333333338</v>
      </c>
      <c r="E392" s="32">
        <v>0</v>
      </c>
      <c r="F392" s="32">
        <v>89885</v>
      </c>
      <c r="G392" s="32">
        <v>0</v>
      </c>
      <c r="H392" s="15" t="s">
        <v>197</v>
      </c>
    </row>
    <row r="393" spans="1:8" x14ac:dyDescent="0.2">
      <c r="A393" t="s">
        <v>10</v>
      </c>
      <c r="B393" t="s">
        <v>150</v>
      </c>
      <c r="C393" s="15" t="s">
        <v>162</v>
      </c>
      <c r="D393" s="32">
        <v>56.4</v>
      </c>
      <c r="E393" s="32">
        <v>0</v>
      </c>
      <c r="F393" s="32">
        <v>246314</v>
      </c>
      <c r="G393" s="32">
        <v>0</v>
      </c>
      <c r="H393" s="15" t="s">
        <v>197</v>
      </c>
    </row>
    <row r="394" spans="1:8" x14ac:dyDescent="0.2">
      <c r="A394" t="s">
        <v>75</v>
      </c>
      <c r="B394" t="s">
        <v>150</v>
      </c>
      <c r="C394" s="15" t="s">
        <v>162</v>
      </c>
      <c r="D394" s="32">
        <v>5.9</v>
      </c>
      <c r="E394" s="32">
        <v>0</v>
      </c>
      <c r="F394" s="32">
        <v>0</v>
      </c>
      <c r="G394" s="32">
        <v>0</v>
      </c>
      <c r="H394" s="15" t="s">
        <v>197</v>
      </c>
    </row>
    <row r="395" spans="1:8" x14ac:dyDescent="0.2">
      <c r="A395" t="s">
        <v>163</v>
      </c>
      <c r="B395" t="s">
        <v>150</v>
      </c>
      <c r="C395" s="15" t="s">
        <v>162</v>
      </c>
      <c r="D395" s="32">
        <v>2</v>
      </c>
      <c r="E395" s="32">
        <v>0</v>
      </c>
      <c r="F395" s="32">
        <v>0</v>
      </c>
      <c r="G395" s="32">
        <v>0</v>
      </c>
      <c r="H395" s="15" t="s">
        <v>197</v>
      </c>
    </row>
    <row r="396" spans="1:8" x14ac:dyDescent="0.2">
      <c r="A396" t="s">
        <v>93</v>
      </c>
      <c r="B396" t="s">
        <v>150</v>
      </c>
      <c r="C396" s="15" t="s">
        <v>162</v>
      </c>
      <c r="D396" s="32">
        <v>18</v>
      </c>
      <c r="E396" s="32">
        <v>0</v>
      </c>
      <c r="F396" s="32">
        <v>0</v>
      </c>
      <c r="G396" s="32">
        <v>0</v>
      </c>
      <c r="H396" s="15" t="s">
        <v>197</v>
      </c>
    </row>
    <row r="397" spans="1:8" x14ac:dyDescent="0.2">
      <c r="A397" t="s">
        <v>31</v>
      </c>
      <c r="B397" t="s">
        <v>152</v>
      </c>
      <c r="C397" s="15" t="s">
        <v>162</v>
      </c>
      <c r="D397" s="32">
        <v>2.0499999999999998</v>
      </c>
      <c r="E397" s="32">
        <v>0</v>
      </c>
      <c r="F397" s="32">
        <v>1598</v>
      </c>
      <c r="G397" s="32">
        <v>0</v>
      </c>
      <c r="H397" s="15" t="s">
        <v>197</v>
      </c>
    </row>
    <row r="398" spans="1:8" x14ac:dyDescent="0.2">
      <c r="A398" t="s">
        <v>13</v>
      </c>
      <c r="B398" t="s">
        <v>150</v>
      </c>
      <c r="C398" s="15" t="s">
        <v>162</v>
      </c>
      <c r="D398" s="32">
        <v>134.04999999999993</v>
      </c>
      <c r="E398" s="32">
        <v>0</v>
      </c>
      <c r="F398" s="32">
        <v>132380</v>
      </c>
      <c r="G398" s="32">
        <v>0</v>
      </c>
      <c r="H398" s="15" t="s">
        <v>197</v>
      </c>
    </row>
    <row r="399" spans="1:8" x14ac:dyDescent="0.2">
      <c r="A399" t="s">
        <v>24</v>
      </c>
      <c r="B399" t="s">
        <v>150</v>
      </c>
      <c r="C399" s="15" t="s">
        <v>162</v>
      </c>
      <c r="D399" s="32">
        <v>151.56666666666666</v>
      </c>
      <c r="E399" s="32">
        <v>0</v>
      </c>
      <c r="F399" s="32">
        <v>0</v>
      </c>
      <c r="G399" s="32">
        <v>0</v>
      </c>
      <c r="H399" s="15" t="s">
        <v>197</v>
      </c>
    </row>
    <row r="400" spans="1:8" x14ac:dyDescent="0.2">
      <c r="A400" t="s">
        <v>47</v>
      </c>
      <c r="B400" t="s">
        <v>150</v>
      </c>
      <c r="C400" s="15" t="s">
        <v>162</v>
      </c>
      <c r="D400" s="32">
        <v>39.649999999999991</v>
      </c>
      <c r="E400" s="32">
        <v>0</v>
      </c>
      <c r="F400" s="32">
        <v>0</v>
      </c>
      <c r="G400" s="32">
        <v>0</v>
      </c>
      <c r="H400" s="15" t="s">
        <v>197</v>
      </c>
    </row>
    <row r="401" spans="1:8" x14ac:dyDescent="0.2">
      <c r="A401" t="s">
        <v>92</v>
      </c>
      <c r="B401" t="s">
        <v>150</v>
      </c>
      <c r="C401" s="15" t="s">
        <v>162</v>
      </c>
      <c r="D401" s="32">
        <v>6.3333333333333339</v>
      </c>
      <c r="E401" s="32">
        <v>0</v>
      </c>
      <c r="F401" s="32">
        <v>0</v>
      </c>
      <c r="G401" s="32">
        <v>0</v>
      </c>
      <c r="H401" s="15" t="s">
        <v>197</v>
      </c>
    </row>
    <row r="402" spans="1:8" x14ac:dyDescent="0.2">
      <c r="A402" t="s">
        <v>6</v>
      </c>
      <c r="B402" t="s">
        <v>149</v>
      </c>
      <c r="C402" s="15" t="s">
        <v>162</v>
      </c>
      <c r="D402" s="32">
        <v>54</v>
      </c>
      <c r="E402" s="32">
        <v>0</v>
      </c>
      <c r="F402" s="32">
        <v>0</v>
      </c>
      <c r="G402" s="32">
        <v>0</v>
      </c>
      <c r="H402" s="15" t="s">
        <v>197</v>
      </c>
    </row>
    <row r="403" spans="1:8" x14ac:dyDescent="0.2">
      <c r="A403" t="s">
        <v>177</v>
      </c>
      <c r="B403" t="s">
        <v>153</v>
      </c>
      <c r="C403" s="15" t="s">
        <v>162</v>
      </c>
      <c r="D403" s="32">
        <v>88.583333333333343</v>
      </c>
      <c r="E403" s="32">
        <v>0</v>
      </c>
      <c r="F403" s="32">
        <v>2644</v>
      </c>
      <c r="G403" s="32">
        <v>0</v>
      </c>
      <c r="H403" s="15" t="s">
        <v>197</v>
      </c>
    </row>
    <row r="404" spans="1:8" x14ac:dyDescent="0.2">
      <c r="A404" t="s">
        <v>165</v>
      </c>
      <c r="B404" t="s">
        <v>150</v>
      </c>
      <c r="C404" s="15" t="s">
        <v>162</v>
      </c>
      <c r="D404" s="32">
        <v>39</v>
      </c>
      <c r="E404" s="32">
        <v>0</v>
      </c>
      <c r="F404" s="32">
        <v>0</v>
      </c>
      <c r="G404" s="32">
        <v>0</v>
      </c>
      <c r="H404" s="15" t="s">
        <v>197</v>
      </c>
    </row>
    <row r="405" spans="1:8" x14ac:dyDescent="0.2">
      <c r="A405" t="s">
        <v>185</v>
      </c>
      <c r="B405" t="s">
        <v>151</v>
      </c>
      <c r="C405" s="15" t="s">
        <v>162</v>
      </c>
      <c r="D405" s="32">
        <v>44.933333333333337</v>
      </c>
      <c r="E405" s="32">
        <v>0</v>
      </c>
      <c r="F405" s="32">
        <v>47829</v>
      </c>
      <c r="G405" s="32">
        <v>0</v>
      </c>
      <c r="H405" s="15" t="s">
        <v>197</v>
      </c>
    </row>
    <row r="406" spans="1:8" x14ac:dyDescent="0.2">
      <c r="A406" t="s">
        <v>113</v>
      </c>
      <c r="B406" t="s">
        <v>150</v>
      </c>
      <c r="C406" s="15" t="s">
        <v>162</v>
      </c>
      <c r="D406" s="32">
        <v>19.75</v>
      </c>
      <c r="E406" s="32">
        <v>0</v>
      </c>
      <c r="F406" s="32">
        <v>16755</v>
      </c>
      <c r="G406" s="32">
        <v>0</v>
      </c>
      <c r="H406" s="15" t="s">
        <v>197</v>
      </c>
    </row>
    <row r="407" spans="1:8" x14ac:dyDescent="0.2">
      <c r="A407" t="s">
        <v>80</v>
      </c>
      <c r="B407" t="s">
        <v>150</v>
      </c>
      <c r="C407" s="15" t="s">
        <v>162</v>
      </c>
      <c r="D407" s="32">
        <v>57.4</v>
      </c>
      <c r="E407" s="32">
        <v>0</v>
      </c>
      <c r="F407" s="32">
        <v>26190</v>
      </c>
      <c r="G407" s="32">
        <v>0</v>
      </c>
      <c r="H407" s="15" t="s">
        <v>197</v>
      </c>
    </row>
    <row r="408" spans="1:8" x14ac:dyDescent="0.2">
      <c r="A408" t="s">
        <v>178</v>
      </c>
      <c r="B408" t="s">
        <v>153</v>
      </c>
      <c r="C408" s="15" t="s">
        <v>162</v>
      </c>
      <c r="D408" s="32">
        <v>1617.3833333333334</v>
      </c>
      <c r="E408" s="32">
        <v>0</v>
      </c>
      <c r="F408" s="32">
        <v>897680</v>
      </c>
      <c r="G408" s="32">
        <v>0</v>
      </c>
      <c r="H408" s="15" t="s">
        <v>197</v>
      </c>
    </row>
    <row r="409" spans="1:8" x14ac:dyDescent="0.2">
      <c r="A409" t="s">
        <v>25</v>
      </c>
      <c r="B409" t="s">
        <v>150</v>
      </c>
      <c r="C409" s="15" t="s">
        <v>162</v>
      </c>
      <c r="D409" s="32">
        <v>48.2</v>
      </c>
      <c r="E409" s="32">
        <v>0</v>
      </c>
      <c r="F409" s="32">
        <v>0</v>
      </c>
      <c r="G409" s="32">
        <v>0</v>
      </c>
      <c r="H409" s="15" t="s">
        <v>197</v>
      </c>
    </row>
    <row r="410" spans="1:8" x14ac:dyDescent="0.2">
      <c r="A410" t="s">
        <v>107</v>
      </c>
      <c r="B410" t="s">
        <v>150</v>
      </c>
      <c r="C410" s="15" t="s">
        <v>162</v>
      </c>
      <c r="D410" s="32">
        <v>20.166666666666664</v>
      </c>
      <c r="E410" s="32">
        <v>0</v>
      </c>
      <c r="F410" s="32">
        <v>6075</v>
      </c>
      <c r="G410" s="32">
        <v>0</v>
      </c>
      <c r="H410" s="15" t="s">
        <v>197</v>
      </c>
    </row>
    <row r="411" spans="1:8" x14ac:dyDescent="0.2">
      <c r="A411" t="s">
        <v>50</v>
      </c>
      <c r="B411" t="s">
        <v>149</v>
      </c>
      <c r="C411" s="15" t="s">
        <v>162</v>
      </c>
      <c r="D411" s="32">
        <v>6.7833333333333332</v>
      </c>
      <c r="E411" s="32">
        <v>0</v>
      </c>
      <c r="F411" s="32">
        <v>0</v>
      </c>
      <c r="G411" s="32">
        <v>0</v>
      </c>
      <c r="H411" s="15" t="s">
        <v>197</v>
      </c>
    </row>
    <row r="412" spans="1:8" x14ac:dyDescent="0.2">
      <c r="A412" t="s">
        <v>42</v>
      </c>
      <c r="B412" t="s">
        <v>149</v>
      </c>
      <c r="C412" s="15" t="s">
        <v>161</v>
      </c>
      <c r="D412" s="32">
        <v>31.249999999999996</v>
      </c>
      <c r="E412" s="32">
        <v>0</v>
      </c>
      <c r="F412" s="32">
        <v>0</v>
      </c>
      <c r="G412" s="32">
        <v>0</v>
      </c>
      <c r="H412" s="15" t="s">
        <v>199</v>
      </c>
    </row>
    <row r="413" spans="1:8" x14ac:dyDescent="0.2">
      <c r="A413" t="s">
        <v>4</v>
      </c>
      <c r="B413" t="s">
        <v>149</v>
      </c>
      <c r="C413" s="15" t="s">
        <v>161</v>
      </c>
      <c r="D413" s="32">
        <v>18.333333333333332</v>
      </c>
      <c r="E413" s="32">
        <v>0</v>
      </c>
      <c r="F413" s="32">
        <v>2752</v>
      </c>
      <c r="G413" s="32">
        <v>0</v>
      </c>
      <c r="H413" s="15" t="s">
        <v>199</v>
      </c>
    </row>
    <row r="414" spans="1:8" x14ac:dyDescent="0.2">
      <c r="A414" t="s">
        <v>2</v>
      </c>
      <c r="B414" t="s">
        <v>149</v>
      </c>
      <c r="C414" s="15" t="s">
        <v>161</v>
      </c>
      <c r="D414" s="32">
        <v>27.316666666666663</v>
      </c>
      <c r="E414" s="32">
        <v>0</v>
      </c>
      <c r="F414" s="32">
        <v>15566</v>
      </c>
      <c r="G414" s="32">
        <v>0</v>
      </c>
      <c r="H414" s="15" t="s">
        <v>199</v>
      </c>
    </row>
    <row r="415" spans="1:8" x14ac:dyDescent="0.2">
      <c r="A415" t="s">
        <v>1</v>
      </c>
      <c r="B415" t="s">
        <v>149</v>
      </c>
      <c r="C415" s="15" t="s">
        <v>161</v>
      </c>
      <c r="D415" s="32">
        <v>21.866666666666667</v>
      </c>
      <c r="E415" s="32">
        <v>0</v>
      </c>
      <c r="F415" s="32">
        <v>23925</v>
      </c>
      <c r="G415" s="32">
        <v>0</v>
      </c>
      <c r="H415" s="15" t="s">
        <v>199</v>
      </c>
    </row>
    <row r="416" spans="1:8" x14ac:dyDescent="0.2">
      <c r="A416" t="s">
        <v>27</v>
      </c>
      <c r="B416" t="s">
        <v>149</v>
      </c>
      <c r="C416" s="15" t="s">
        <v>161</v>
      </c>
      <c r="D416" s="32">
        <v>515.28333333333319</v>
      </c>
      <c r="E416" s="32">
        <v>0</v>
      </c>
      <c r="F416" s="32">
        <v>0</v>
      </c>
      <c r="G416" s="32">
        <v>0</v>
      </c>
      <c r="H416" s="15" t="s">
        <v>199</v>
      </c>
    </row>
    <row r="417" spans="1:8" x14ac:dyDescent="0.2">
      <c r="A417" t="s">
        <v>23</v>
      </c>
      <c r="B417" t="s">
        <v>149</v>
      </c>
      <c r="C417" s="15" t="s">
        <v>161</v>
      </c>
      <c r="D417" s="32">
        <v>108.66666666666667</v>
      </c>
      <c r="E417" s="32">
        <v>0</v>
      </c>
      <c r="F417" s="32">
        <v>0</v>
      </c>
      <c r="G417" s="32">
        <v>0</v>
      </c>
      <c r="H417" s="15" t="s">
        <v>199</v>
      </c>
    </row>
    <row r="418" spans="1:8" x14ac:dyDescent="0.2">
      <c r="A418" t="s">
        <v>57</v>
      </c>
      <c r="B418" t="s">
        <v>149</v>
      </c>
      <c r="C418" s="15" t="s">
        <v>161</v>
      </c>
      <c r="D418" s="32">
        <v>0.83333333333333337</v>
      </c>
      <c r="E418" s="32">
        <v>0</v>
      </c>
      <c r="F418" s="32">
        <v>0</v>
      </c>
      <c r="G418" s="32">
        <v>0</v>
      </c>
      <c r="H418" s="15" t="s">
        <v>199</v>
      </c>
    </row>
    <row r="419" spans="1:8" x14ac:dyDescent="0.2">
      <c r="A419" t="s">
        <v>3</v>
      </c>
      <c r="B419" t="s">
        <v>149</v>
      </c>
      <c r="C419" s="15" t="s">
        <v>161</v>
      </c>
      <c r="D419" s="32">
        <v>3.7166666666666663</v>
      </c>
      <c r="E419" s="32">
        <v>0</v>
      </c>
      <c r="F419" s="32">
        <v>4264</v>
      </c>
      <c r="G419" s="32">
        <v>0</v>
      </c>
      <c r="H419" s="15" t="s">
        <v>199</v>
      </c>
    </row>
    <row r="420" spans="1:8" x14ac:dyDescent="0.2">
      <c r="A420" t="s">
        <v>6</v>
      </c>
      <c r="B420" t="s">
        <v>149</v>
      </c>
      <c r="C420" s="15" t="s">
        <v>161</v>
      </c>
      <c r="D420" s="32">
        <v>75</v>
      </c>
      <c r="E420" s="32">
        <v>0</v>
      </c>
      <c r="F420" s="32">
        <v>0</v>
      </c>
      <c r="G420" s="32">
        <v>0</v>
      </c>
      <c r="H420" s="15" t="s">
        <v>199</v>
      </c>
    </row>
    <row r="421" spans="1:8" x14ac:dyDescent="0.2">
      <c r="A421" t="s">
        <v>194</v>
      </c>
      <c r="B421" t="s">
        <v>149</v>
      </c>
      <c r="C421" s="15" t="s">
        <v>161</v>
      </c>
      <c r="D421" s="32">
        <v>107.16666666666667</v>
      </c>
      <c r="E421" s="32">
        <v>0</v>
      </c>
      <c r="F421" s="32">
        <v>0</v>
      </c>
      <c r="G421" s="32">
        <v>0</v>
      </c>
      <c r="H421" s="15" t="s">
        <v>199</v>
      </c>
    </row>
    <row r="422" spans="1:8" x14ac:dyDescent="0.2">
      <c r="A422" t="s">
        <v>4</v>
      </c>
      <c r="B422" t="s">
        <v>149</v>
      </c>
      <c r="C422" s="15" t="s">
        <v>162</v>
      </c>
      <c r="D422" s="32">
        <v>7.3333333333333339</v>
      </c>
      <c r="E422" s="32">
        <v>0</v>
      </c>
      <c r="F422" s="32">
        <v>1222</v>
      </c>
      <c r="G422" s="32">
        <v>0</v>
      </c>
      <c r="H422" s="15" t="s">
        <v>199</v>
      </c>
    </row>
    <row r="423" spans="1:8" x14ac:dyDescent="0.2">
      <c r="A423" t="s">
        <v>2</v>
      </c>
      <c r="B423" t="s">
        <v>149</v>
      </c>
      <c r="C423" s="15" t="s">
        <v>162</v>
      </c>
      <c r="D423" s="32">
        <v>49.666666666666664</v>
      </c>
      <c r="E423" s="32">
        <v>0</v>
      </c>
      <c r="F423" s="32">
        <v>17359</v>
      </c>
      <c r="G423" s="32">
        <v>0</v>
      </c>
      <c r="H423" s="15" t="s">
        <v>199</v>
      </c>
    </row>
    <row r="424" spans="1:8" x14ac:dyDescent="0.2">
      <c r="A424" t="s">
        <v>1</v>
      </c>
      <c r="B424" t="s">
        <v>149</v>
      </c>
      <c r="C424" s="15" t="s">
        <v>162</v>
      </c>
      <c r="D424" s="32">
        <v>4.4666666666666668</v>
      </c>
      <c r="E424" s="32">
        <v>0</v>
      </c>
      <c r="F424" s="32">
        <v>7486</v>
      </c>
      <c r="G424" s="32">
        <v>0</v>
      </c>
      <c r="H424" s="15" t="s">
        <v>199</v>
      </c>
    </row>
    <row r="425" spans="1:8" x14ac:dyDescent="0.2">
      <c r="A425" t="s">
        <v>27</v>
      </c>
      <c r="B425" t="s">
        <v>149</v>
      </c>
      <c r="C425" s="15" t="s">
        <v>162</v>
      </c>
      <c r="D425" s="32">
        <v>194.86666666666662</v>
      </c>
      <c r="E425" s="32">
        <v>0</v>
      </c>
      <c r="F425" s="32">
        <v>0</v>
      </c>
      <c r="G425" s="32">
        <v>0</v>
      </c>
      <c r="H425" s="15" t="s">
        <v>199</v>
      </c>
    </row>
    <row r="426" spans="1:8" x14ac:dyDescent="0.2">
      <c r="A426" t="s">
        <v>68</v>
      </c>
      <c r="B426" t="s">
        <v>151</v>
      </c>
      <c r="C426" s="15" t="s">
        <v>162</v>
      </c>
      <c r="D426" s="32">
        <v>257.8</v>
      </c>
      <c r="E426" s="32">
        <v>0</v>
      </c>
      <c r="F426" s="32">
        <v>151625</v>
      </c>
      <c r="G426" s="32">
        <v>0</v>
      </c>
      <c r="H426" s="15" t="s">
        <v>199</v>
      </c>
    </row>
    <row r="427" spans="1:8" x14ac:dyDescent="0.2">
      <c r="A427" t="s">
        <v>10</v>
      </c>
      <c r="B427" t="s">
        <v>150</v>
      </c>
      <c r="C427" s="15" t="s">
        <v>162</v>
      </c>
      <c r="D427" s="32">
        <v>68.8</v>
      </c>
      <c r="E427" s="32">
        <v>0</v>
      </c>
      <c r="F427" s="32">
        <v>334360</v>
      </c>
      <c r="G427" s="32">
        <v>0</v>
      </c>
      <c r="H427" s="15" t="s">
        <v>199</v>
      </c>
    </row>
    <row r="428" spans="1:8" x14ac:dyDescent="0.2">
      <c r="A428" t="s">
        <v>8</v>
      </c>
      <c r="B428" t="s">
        <v>150</v>
      </c>
      <c r="C428" s="15" t="s">
        <v>162</v>
      </c>
      <c r="D428" s="32">
        <v>3.4666666666666668</v>
      </c>
      <c r="E428" s="32">
        <v>0</v>
      </c>
      <c r="F428" s="32">
        <v>6259</v>
      </c>
      <c r="G428" s="32">
        <v>0</v>
      </c>
      <c r="H428" s="15" t="s">
        <v>199</v>
      </c>
    </row>
    <row r="429" spans="1:8" x14ac:dyDescent="0.2">
      <c r="A429" t="s">
        <v>17</v>
      </c>
      <c r="B429" t="s">
        <v>150</v>
      </c>
      <c r="C429" s="15" t="s">
        <v>162</v>
      </c>
      <c r="D429" s="32">
        <v>2.5</v>
      </c>
      <c r="E429" s="32">
        <v>0</v>
      </c>
      <c r="F429" s="32">
        <v>0</v>
      </c>
      <c r="G429" s="32">
        <v>0</v>
      </c>
      <c r="H429" s="15" t="s">
        <v>199</v>
      </c>
    </row>
    <row r="430" spans="1:8" x14ac:dyDescent="0.2">
      <c r="A430" t="s">
        <v>75</v>
      </c>
      <c r="B430" t="s">
        <v>150</v>
      </c>
      <c r="C430" s="15" t="s">
        <v>162</v>
      </c>
      <c r="D430" s="32">
        <v>10.866666666666667</v>
      </c>
      <c r="E430" s="32">
        <v>0</v>
      </c>
      <c r="F430" s="32">
        <v>0</v>
      </c>
      <c r="G430" s="32">
        <v>0</v>
      </c>
      <c r="H430" s="15" t="s">
        <v>199</v>
      </c>
    </row>
    <row r="431" spans="1:8" x14ac:dyDescent="0.2">
      <c r="A431" t="s">
        <v>52</v>
      </c>
      <c r="B431" t="s">
        <v>150</v>
      </c>
      <c r="C431" s="15" t="s">
        <v>162</v>
      </c>
      <c r="D431" s="32">
        <v>8</v>
      </c>
      <c r="E431" s="32">
        <v>0</v>
      </c>
      <c r="F431" s="32">
        <v>0</v>
      </c>
      <c r="G431" s="32">
        <v>0</v>
      </c>
      <c r="H431" s="15" t="s">
        <v>199</v>
      </c>
    </row>
    <row r="432" spans="1:8" x14ac:dyDescent="0.2">
      <c r="A432" t="s">
        <v>34</v>
      </c>
      <c r="B432" t="s">
        <v>152</v>
      </c>
      <c r="C432" s="15" t="s">
        <v>162</v>
      </c>
      <c r="D432" s="32">
        <v>6</v>
      </c>
      <c r="E432" s="32">
        <v>0</v>
      </c>
      <c r="F432" s="32">
        <v>5039</v>
      </c>
      <c r="G432" s="32">
        <v>0</v>
      </c>
      <c r="H432" s="15" t="s">
        <v>199</v>
      </c>
    </row>
    <row r="433" spans="1:8" x14ac:dyDescent="0.2">
      <c r="A433" t="s">
        <v>163</v>
      </c>
      <c r="B433" t="s">
        <v>150</v>
      </c>
      <c r="C433" s="15" t="s">
        <v>162</v>
      </c>
      <c r="D433" s="32">
        <v>4</v>
      </c>
      <c r="E433" s="32">
        <v>0</v>
      </c>
      <c r="F433" s="32">
        <v>0</v>
      </c>
      <c r="G433" s="32">
        <v>0</v>
      </c>
      <c r="H433" s="15" t="s">
        <v>199</v>
      </c>
    </row>
    <row r="434" spans="1:8" x14ac:dyDescent="0.2">
      <c r="A434" t="s">
        <v>93</v>
      </c>
      <c r="B434" t="s">
        <v>150</v>
      </c>
      <c r="C434" s="15" t="s">
        <v>162</v>
      </c>
      <c r="D434" s="32">
        <v>12</v>
      </c>
      <c r="E434" s="32">
        <v>0</v>
      </c>
      <c r="F434" s="32">
        <v>0</v>
      </c>
      <c r="G434" s="32">
        <v>0</v>
      </c>
      <c r="H434" s="15" t="s">
        <v>199</v>
      </c>
    </row>
    <row r="435" spans="1:8" x14ac:dyDescent="0.2">
      <c r="A435" t="s">
        <v>7</v>
      </c>
      <c r="B435" t="s">
        <v>150</v>
      </c>
      <c r="C435" s="15" t="s">
        <v>162</v>
      </c>
      <c r="D435" s="37">
        <v>1.5666666666666667</v>
      </c>
      <c r="E435" s="37">
        <v>0</v>
      </c>
      <c r="F435" s="37">
        <v>0</v>
      </c>
      <c r="G435" s="37">
        <v>0</v>
      </c>
      <c r="H435" s="15" t="s">
        <v>199</v>
      </c>
    </row>
    <row r="436" spans="1:8" x14ac:dyDescent="0.2">
      <c r="A436" t="s">
        <v>31</v>
      </c>
      <c r="B436" t="s">
        <v>152</v>
      </c>
      <c r="C436" s="15" t="s">
        <v>162</v>
      </c>
      <c r="D436" s="37">
        <v>6.5166666666666666</v>
      </c>
      <c r="E436" s="37">
        <v>0</v>
      </c>
      <c r="F436" s="37">
        <v>3485</v>
      </c>
      <c r="G436" s="37">
        <v>0</v>
      </c>
      <c r="H436" s="15" t="s">
        <v>199</v>
      </c>
    </row>
    <row r="437" spans="1:8" x14ac:dyDescent="0.2">
      <c r="A437" t="s">
        <v>14</v>
      </c>
      <c r="B437" t="s">
        <v>150</v>
      </c>
      <c r="C437" s="15" t="s">
        <v>162</v>
      </c>
      <c r="D437" s="32">
        <v>9</v>
      </c>
      <c r="E437" s="32">
        <v>0</v>
      </c>
      <c r="F437" s="32">
        <v>0</v>
      </c>
      <c r="G437" s="32">
        <v>0</v>
      </c>
      <c r="H437" s="15" t="s">
        <v>199</v>
      </c>
    </row>
    <row r="438" spans="1:8" x14ac:dyDescent="0.2">
      <c r="A438" t="s">
        <v>13</v>
      </c>
      <c r="B438" t="s">
        <v>150</v>
      </c>
      <c r="C438" s="15" t="s">
        <v>162</v>
      </c>
      <c r="D438" s="32">
        <v>140.43333333333328</v>
      </c>
      <c r="E438" s="32">
        <v>0</v>
      </c>
      <c r="F438" s="32">
        <v>135320</v>
      </c>
      <c r="G438" s="32">
        <v>0</v>
      </c>
      <c r="H438" s="15" t="s">
        <v>199</v>
      </c>
    </row>
    <row r="439" spans="1:8" x14ac:dyDescent="0.2">
      <c r="A439" t="s">
        <v>24</v>
      </c>
      <c r="B439" t="s">
        <v>150</v>
      </c>
      <c r="C439" s="15" t="s">
        <v>162</v>
      </c>
      <c r="D439" s="32">
        <v>170.8</v>
      </c>
      <c r="E439" s="32">
        <v>0</v>
      </c>
      <c r="F439" s="32">
        <v>0</v>
      </c>
      <c r="G439" s="32">
        <v>0</v>
      </c>
      <c r="H439" s="15" t="s">
        <v>199</v>
      </c>
    </row>
    <row r="440" spans="1:8" x14ac:dyDescent="0.2">
      <c r="A440" t="s">
        <v>3</v>
      </c>
      <c r="B440" t="s">
        <v>149</v>
      </c>
      <c r="C440" s="15" t="s">
        <v>162</v>
      </c>
      <c r="D440" s="32">
        <v>3.1833333333333331</v>
      </c>
      <c r="E440" s="32">
        <v>0</v>
      </c>
      <c r="F440" s="32">
        <v>451</v>
      </c>
      <c r="G440" s="32">
        <v>0</v>
      </c>
      <c r="H440" s="15" t="s">
        <v>199</v>
      </c>
    </row>
    <row r="441" spans="1:8" x14ac:dyDescent="0.2">
      <c r="A441" t="s">
        <v>47</v>
      </c>
      <c r="B441" t="s">
        <v>150</v>
      </c>
      <c r="C441" s="15" t="s">
        <v>162</v>
      </c>
      <c r="D441" s="32">
        <v>33.533333333333339</v>
      </c>
      <c r="E441" s="32">
        <v>0</v>
      </c>
      <c r="F441" s="32">
        <v>0</v>
      </c>
      <c r="G441" s="32">
        <v>0</v>
      </c>
      <c r="H441" s="15" t="s">
        <v>199</v>
      </c>
    </row>
    <row r="442" spans="1:8" x14ac:dyDescent="0.2">
      <c r="A442" t="s">
        <v>6</v>
      </c>
      <c r="B442" t="s">
        <v>149</v>
      </c>
      <c r="C442" s="15" t="s">
        <v>162</v>
      </c>
      <c r="D442" s="32">
        <v>54</v>
      </c>
      <c r="E442" s="32">
        <v>0</v>
      </c>
      <c r="F442" s="32">
        <v>0</v>
      </c>
      <c r="G442" s="32">
        <v>0</v>
      </c>
      <c r="H442" s="15" t="s">
        <v>199</v>
      </c>
    </row>
    <row r="443" spans="1:8" x14ac:dyDescent="0.2">
      <c r="A443" t="s">
        <v>46</v>
      </c>
      <c r="B443" t="s">
        <v>150</v>
      </c>
      <c r="C443" s="15" t="s">
        <v>162</v>
      </c>
      <c r="D443" s="32">
        <v>8.7833333333333332</v>
      </c>
      <c r="E443" s="32">
        <v>0</v>
      </c>
      <c r="F443" s="32">
        <v>14780</v>
      </c>
      <c r="G443" s="32">
        <v>0</v>
      </c>
      <c r="H443" s="15" t="s">
        <v>199</v>
      </c>
    </row>
    <row r="444" spans="1:8" x14ac:dyDescent="0.2">
      <c r="A444" t="s">
        <v>177</v>
      </c>
      <c r="B444" t="s">
        <v>153</v>
      </c>
      <c r="C444" s="15" t="s">
        <v>162</v>
      </c>
      <c r="D444" s="32">
        <v>86.05</v>
      </c>
      <c r="E444" s="32">
        <v>0</v>
      </c>
      <c r="F444" s="32">
        <v>2654</v>
      </c>
      <c r="G444" s="32">
        <v>0</v>
      </c>
      <c r="H444" s="15" t="s">
        <v>199</v>
      </c>
    </row>
    <row r="445" spans="1:8" x14ac:dyDescent="0.2">
      <c r="A445" t="s">
        <v>165</v>
      </c>
      <c r="B445" t="s">
        <v>150</v>
      </c>
      <c r="C445" s="15" t="s">
        <v>162</v>
      </c>
      <c r="D445" s="32">
        <v>6</v>
      </c>
      <c r="E445" s="32">
        <v>0</v>
      </c>
      <c r="F445" s="32">
        <v>0</v>
      </c>
      <c r="G445" s="32">
        <v>0</v>
      </c>
      <c r="H445" s="15" t="s">
        <v>199</v>
      </c>
    </row>
    <row r="446" spans="1:8" x14ac:dyDescent="0.2">
      <c r="A446" t="s">
        <v>69</v>
      </c>
      <c r="B446" t="s">
        <v>151</v>
      </c>
      <c r="C446" s="15" t="s">
        <v>162</v>
      </c>
      <c r="D446" s="32">
        <v>65.283333333333346</v>
      </c>
      <c r="E446" s="32">
        <v>0</v>
      </c>
      <c r="F446" s="32">
        <v>61872</v>
      </c>
      <c r="G446" s="32">
        <v>0</v>
      </c>
      <c r="H446" s="15" t="s">
        <v>199</v>
      </c>
    </row>
    <row r="447" spans="1:8" x14ac:dyDescent="0.2">
      <c r="A447" t="s">
        <v>113</v>
      </c>
      <c r="B447" t="s">
        <v>150</v>
      </c>
      <c r="C447" s="15" t="s">
        <v>162</v>
      </c>
      <c r="D447" s="32">
        <v>15.000000000000002</v>
      </c>
      <c r="E447" s="32">
        <v>0</v>
      </c>
      <c r="F447" s="32">
        <v>16125</v>
      </c>
      <c r="G447" s="32">
        <v>0</v>
      </c>
      <c r="H447" s="15" t="s">
        <v>199</v>
      </c>
    </row>
    <row r="448" spans="1:8" x14ac:dyDescent="0.2">
      <c r="A448" t="s">
        <v>80</v>
      </c>
      <c r="B448" t="s">
        <v>150</v>
      </c>
      <c r="C448" s="15" t="s">
        <v>162</v>
      </c>
      <c r="D448" s="32">
        <v>64.416666666666671</v>
      </c>
      <c r="E448" s="32">
        <v>0</v>
      </c>
      <c r="F448" s="32">
        <v>32445</v>
      </c>
      <c r="G448" s="32">
        <v>0</v>
      </c>
      <c r="H448" s="15" t="s">
        <v>199</v>
      </c>
    </row>
    <row r="449" spans="1:8" x14ac:dyDescent="0.2">
      <c r="A449" t="s">
        <v>178</v>
      </c>
      <c r="B449" t="s">
        <v>153</v>
      </c>
      <c r="C449" s="15" t="s">
        <v>162</v>
      </c>
      <c r="D449" s="32">
        <v>1622.2333333333336</v>
      </c>
      <c r="E449" s="32">
        <v>0</v>
      </c>
      <c r="F449" s="32">
        <v>844380</v>
      </c>
      <c r="G449" s="32">
        <v>0</v>
      </c>
      <c r="H449" s="15" t="s">
        <v>199</v>
      </c>
    </row>
    <row r="450" spans="1:8" x14ac:dyDescent="0.2">
      <c r="A450" t="s">
        <v>25</v>
      </c>
      <c r="B450" t="s">
        <v>150</v>
      </c>
      <c r="C450" s="15" t="s">
        <v>162</v>
      </c>
      <c r="D450" s="32">
        <v>20.816666666666663</v>
      </c>
      <c r="E450" s="32">
        <v>0</v>
      </c>
      <c r="F450" s="32">
        <v>0</v>
      </c>
      <c r="G450" s="32">
        <v>0</v>
      </c>
      <c r="H450" s="15" t="s">
        <v>199</v>
      </c>
    </row>
    <row r="451" spans="1:8" x14ac:dyDescent="0.2">
      <c r="A451" t="s">
        <v>107</v>
      </c>
      <c r="B451" t="s">
        <v>150</v>
      </c>
      <c r="C451" s="15" t="s">
        <v>162</v>
      </c>
      <c r="D451" s="32">
        <v>10.833333333333332</v>
      </c>
      <c r="E451" s="32">
        <v>0</v>
      </c>
      <c r="F451" s="32">
        <v>2450</v>
      </c>
      <c r="G451" s="32">
        <v>0</v>
      </c>
      <c r="H451" s="15" t="s">
        <v>199</v>
      </c>
    </row>
    <row r="452" spans="1:8" x14ac:dyDescent="0.2">
      <c r="A452" t="s">
        <v>108</v>
      </c>
      <c r="B452" t="s">
        <v>149</v>
      </c>
      <c r="C452" s="15" t="s">
        <v>161</v>
      </c>
      <c r="D452" s="32">
        <v>32.050000000000004</v>
      </c>
      <c r="E452" s="32">
        <v>0</v>
      </c>
      <c r="F452" s="32">
        <v>10253</v>
      </c>
      <c r="G452" s="32">
        <v>0</v>
      </c>
      <c r="H452" s="15" t="s">
        <v>200</v>
      </c>
    </row>
    <row r="453" spans="1:8" x14ac:dyDescent="0.2">
      <c r="A453" t="s">
        <v>42</v>
      </c>
      <c r="B453" t="s">
        <v>149</v>
      </c>
      <c r="C453" s="15" t="s">
        <v>161</v>
      </c>
      <c r="D453" s="32">
        <v>129.16666666666663</v>
      </c>
      <c r="E453" s="32">
        <v>0</v>
      </c>
      <c r="F453" s="32">
        <v>0</v>
      </c>
      <c r="G453" s="32">
        <v>0</v>
      </c>
      <c r="H453" s="15" t="s">
        <v>200</v>
      </c>
    </row>
    <row r="454" spans="1:8" x14ac:dyDescent="0.2">
      <c r="A454" t="s">
        <v>4</v>
      </c>
      <c r="B454" t="s">
        <v>149</v>
      </c>
      <c r="C454" s="15" t="s">
        <v>161</v>
      </c>
      <c r="D454" s="32">
        <v>16.75</v>
      </c>
      <c r="E454" s="32">
        <v>0</v>
      </c>
      <c r="F454" s="32">
        <v>3554</v>
      </c>
      <c r="G454" s="32">
        <v>0</v>
      </c>
      <c r="H454" s="15" t="s">
        <v>200</v>
      </c>
    </row>
    <row r="455" spans="1:8" x14ac:dyDescent="0.2">
      <c r="A455" t="s">
        <v>2</v>
      </c>
      <c r="B455" t="s">
        <v>149</v>
      </c>
      <c r="C455" s="15" t="s">
        <v>161</v>
      </c>
      <c r="D455" s="32">
        <v>15.316666666666666</v>
      </c>
      <c r="E455" s="32">
        <v>0</v>
      </c>
      <c r="F455" s="32">
        <v>19183</v>
      </c>
      <c r="G455" s="32">
        <v>0</v>
      </c>
      <c r="H455" s="15" t="s">
        <v>200</v>
      </c>
    </row>
    <row r="456" spans="1:8" x14ac:dyDescent="0.2">
      <c r="A456" t="s">
        <v>1</v>
      </c>
      <c r="B456" t="s">
        <v>149</v>
      </c>
      <c r="C456" s="15" t="s">
        <v>161</v>
      </c>
      <c r="D456" s="32">
        <v>23.349999999999998</v>
      </c>
      <c r="E456" s="32">
        <v>0</v>
      </c>
      <c r="F456" s="32">
        <v>4748.4074000000001</v>
      </c>
      <c r="G456" s="32">
        <v>0</v>
      </c>
      <c r="H456" s="15" t="s">
        <v>200</v>
      </c>
    </row>
    <row r="457" spans="1:8" x14ac:dyDescent="0.2">
      <c r="A457" t="s">
        <v>27</v>
      </c>
      <c r="B457" t="s">
        <v>149</v>
      </c>
      <c r="C457" s="15" t="s">
        <v>161</v>
      </c>
      <c r="D457" s="32">
        <v>465.45</v>
      </c>
      <c r="E457" s="32">
        <v>0</v>
      </c>
      <c r="F457" s="32">
        <v>0</v>
      </c>
      <c r="G457" s="32">
        <v>0</v>
      </c>
      <c r="H457" s="15" t="s">
        <v>200</v>
      </c>
    </row>
    <row r="458" spans="1:8" x14ac:dyDescent="0.2">
      <c r="A458" t="s">
        <v>23</v>
      </c>
      <c r="B458" t="s">
        <v>149</v>
      </c>
      <c r="C458" s="15" t="s">
        <v>161</v>
      </c>
      <c r="D458" s="32">
        <v>63.333333333333336</v>
      </c>
      <c r="E458" s="32">
        <v>0</v>
      </c>
      <c r="F458" s="32">
        <v>0</v>
      </c>
      <c r="G458" s="32">
        <v>0</v>
      </c>
      <c r="H458" s="15" t="s">
        <v>200</v>
      </c>
    </row>
    <row r="459" spans="1:8" x14ac:dyDescent="0.2">
      <c r="A459" t="s">
        <v>3</v>
      </c>
      <c r="B459" t="s">
        <v>149</v>
      </c>
      <c r="C459" s="15" t="s">
        <v>161</v>
      </c>
      <c r="D459" s="32">
        <v>4.05</v>
      </c>
      <c r="E459" s="32">
        <v>0</v>
      </c>
      <c r="F459" s="32">
        <v>3673.6</v>
      </c>
      <c r="G459" s="32">
        <v>0</v>
      </c>
      <c r="H459" s="15" t="s">
        <v>200</v>
      </c>
    </row>
    <row r="460" spans="1:8" x14ac:dyDescent="0.2">
      <c r="A460" t="s">
        <v>6</v>
      </c>
      <c r="B460" t="s">
        <v>149</v>
      </c>
      <c r="C460" s="15" t="s">
        <v>161</v>
      </c>
      <c r="D460" s="32">
        <v>24</v>
      </c>
      <c r="E460" s="32">
        <v>0</v>
      </c>
      <c r="F460" s="32">
        <v>0</v>
      </c>
      <c r="G460" s="32">
        <v>0</v>
      </c>
      <c r="H460" s="15" t="s">
        <v>200</v>
      </c>
    </row>
    <row r="461" spans="1:8" x14ac:dyDescent="0.2">
      <c r="A461" t="s">
        <v>194</v>
      </c>
      <c r="B461" t="s">
        <v>149</v>
      </c>
      <c r="C461" s="15" t="s">
        <v>161</v>
      </c>
      <c r="D461" s="32">
        <v>148.16666666666666</v>
      </c>
      <c r="E461" s="32">
        <v>0</v>
      </c>
      <c r="F461" s="32">
        <v>0</v>
      </c>
      <c r="G461" s="32">
        <v>0</v>
      </c>
      <c r="H461" s="15" t="s">
        <v>200</v>
      </c>
    </row>
    <row r="462" spans="1:8" x14ac:dyDescent="0.2">
      <c r="A462" t="s">
        <v>196</v>
      </c>
      <c r="B462" t="s">
        <v>150</v>
      </c>
      <c r="C462" s="15" t="s">
        <v>162</v>
      </c>
      <c r="D462" s="32">
        <v>3.1333333333333333</v>
      </c>
      <c r="E462" s="32">
        <v>0</v>
      </c>
      <c r="F462" s="32">
        <v>0</v>
      </c>
      <c r="G462" s="32">
        <v>0</v>
      </c>
      <c r="H462" s="15" t="s">
        <v>200</v>
      </c>
    </row>
    <row r="463" spans="1:8" x14ac:dyDescent="0.2">
      <c r="A463" t="s">
        <v>4</v>
      </c>
      <c r="B463" t="s">
        <v>149</v>
      </c>
      <c r="C463" s="15" t="s">
        <v>162</v>
      </c>
      <c r="D463" s="32">
        <v>1.1666666666666667</v>
      </c>
      <c r="E463" s="32">
        <v>0</v>
      </c>
      <c r="F463" s="32">
        <v>354</v>
      </c>
      <c r="G463" s="32">
        <v>0</v>
      </c>
      <c r="H463" s="15" t="s">
        <v>200</v>
      </c>
    </row>
    <row r="464" spans="1:8" x14ac:dyDescent="0.2">
      <c r="A464" t="s">
        <v>2</v>
      </c>
      <c r="B464" t="s">
        <v>149</v>
      </c>
      <c r="C464" s="15" t="s">
        <v>162</v>
      </c>
      <c r="D464" s="32">
        <v>22.1</v>
      </c>
      <c r="E464" s="32">
        <v>0</v>
      </c>
      <c r="F464" s="32">
        <v>11072</v>
      </c>
      <c r="G464" s="32">
        <v>0</v>
      </c>
      <c r="H464" s="15" t="s">
        <v>200</v>
      </c>
    </row>
    <row r="465" spans="1:8" x14ac:dyDescent="0.2">
      <c r="A465" t="s">
        <v>27</v>
      </c>
      <c r="B465" t="s">
        <v>149</v>
      </c>
      <c r="C465" s="15" t="s">
        <v>162</v>
      </c>
      <c r="D465" s="32">
        <v>336.48333333333329</v>
      </c>
      <c r="E465" s="32">
        <v>0</v>
      </c>
      <c r="F465" s="32">
        <v>0</v>
      </c>
      <c r="G465" s="32">
        <v>0</v>
      </c>
      <c r="H465" s="15" t="s">
        <v>200</v>
      </c>
    </row>
    <row r="466" spans="1:8" x14ac:dyDescent="0.2">
      <c r="A466" t="s">
        <v>76</v>
      </c>
      <c r="B466" t="s">
        <v>152</v>
      </c>
      <c r="C466" s="15" t="s">
        <v>162</v>
      </c>
      <c r="D466" s="32">
        <v>3</v>
      </c>
      <c r="E466" s="32">
        <v>0</v>
      </c>
      <c r="F466" s="32">
        <v>1020</v>
      </c>
      <c r="G466" s="32">
        <v>0</v>
      </c>
      <c r="H466" s="15" t="s">
        <v>200</v>
      </c>
    </row>
    <row r="467" spans="1:8" x14ac:dyDescent="0.2">
      <c r="A467" t="s">
        <v>68</v>
      </c>
      <c r="B467" t="s">
        <v>151</v>
      </c>
      <c r="C467" s="15" t="s">
        <v>162</v>
      </c>
      <c r="D467" s="32">
        <v>187.51666666666665</v>
      </c>
      <c r="E467" s="32">
        <v>0</v>
      </c>
      <c r="F467" s="32">
        <v>128384</v>
      </c>
      <c r="G467" s="32">
        <v>0</v>
      </c>
      <c r="H467" s="15" t="s">
        <v>200</v>
      </c>
    </row>
    <row r="468" spans="1:8" x14ac:dyDescent="0.2">
      <c r="A468" t="s">
        <v>10</v>
      </c>
      <c r="B468" t="s">
        <v>150</v>
      </c>
      <c r="C468" s="15" t="s">
        <v>162</v>
      </c>
      <c r="D468" s="32">
        <v>57.333333333333343</v>
      </c>
      <c r="E468" s="32">
        <v>0</v>
      </c>
      <c r="F468" s="32">
        <v>272909</v>
      </c>
      <c r="G468" s="32">
        <v>0</v>
      </c>
      <c r="H468" s="15" t="s">
        <v>200</v>
      </c>
    </row>
    <row r="469" spans="1:8" x14ac:dyDescent="0.2">
      <c r="A469" t="s">
        <v>17</v>
      </c>
      <c r="B469" t="s">
        <v>150</v>
      </c>
      <c r="C469" s="15" t="s">
        <v>162</v>
      </c>
      <c r="D469" s="32">
        <v>2.5</v>
      </c>
      <c r="E469" s="32">
        <v>0</v>
      </c>
      <c r="F469" s="32">
        <v>0</v>
      </c>
      <c r="G469" s="32">
        <v>0</v>
      </c>
      <c r="H469" s="15" t="s">
        <v>200</v>
      </c>
    </row>
    <row r="470" spans="1:8" x14ac:dyDescent="0.2">
      <c r="A470" t="s">
        <v>75</v>
      </c>
      <c r="B470" t="s">
        <v>150</v>
      </c>
      <c r="C470" s="15" t="s">
        <v>162</v>
      </c>
      <c r="D470" s="32">
        <v>22.449999999999996</v>
      </c>
      <c r="E470" s="32">
        <v>0</v>
      </c>
      <c r="F470" s="32">
        <v>0</v>
      </c>
      <c r="G470" s="32">
        <v>0</v>
      </c>
      <c r="H470" s="15" t="s">
        <v>200</v>
      </c>
    </row>
    <row r="471" spans="1:8" x14ac:dyDescent="0.2">
      <c r="A471" t="s">
        <v>52</v>
      </c>
      <c r="B471" t="s">
        <v>150</v>
      </c>
      <c r="C471" s="15" t="s">
        <v>162</v>
      </c>
      <c r="D471" s="32">
        <v>24.916666666666668</v>
      </c>
      <c r="E471" s="32">
        <v>0</v>
      </c>
      <c r="F471" s="32">
        <v>0</v>
      </c>
      <c r="G471" s="32">
        <v>0</v>
      </c>
      <c r="H471" s="15" t="s">
        <v>200</v>
      </c>
    </row>
    <row r="472" spans="1:8" x14ac:dyDescent="0.2">
      <c r="A472" t="s">
        <v>77</v>
      </c>
      <c r="B472" t="s">
        <v>151</v>
      </c>
      <c r="C472" s="15" t="s">
        <v>162</v>
      </c>
      <c r="D472" s="32">
        <v>6.2333333333333325</v>
      </c>
      <c r="E472" s="32">
        <v>0</v>
      </c>
      <c r="F472" s="32">
        <v>0</v>
      </c>
      <c r="G472" s="32">
        <v>0</v>
      </c>
      <c r="H472" s="15" t="s">
        <v>200</v>
      </c>
    </row>
    <row r="473" spans="1:8" x14ac:dyDescent="0.2">
      <c r="A473" t="s">
        <v>93</v>
      </c>
      <c r="B473" t="s">
        <v>150</v>
      </c>
      <c r="C473" s="15" t="s">
        <v>162</v>
      </c>
      <c r="D473" s="32">
        <v>18</v>
      </c>
      <c r="E473" s="32">
        <v>0</v>
      </c>
      <c r="F473" s="32">
        <v>0</v>
      </c>
      <c r="G473" s="32">
        <v>0</v>
      </c>
      <c r="H473" s="15" t="s">
        <v>200</v>
      </c>
    </row>
    <row r="474" spans="1:8" x14ac:dyDescent="0.2">
      <c r="A474" t="s">
        <v>31</v>
      </c>
      <c r="B474" t="s">
        <v>152</v>
      </c>
      <c r="C474" s="15" t="s">
        <v>162</v>
      </c>
      <c r="D474" s="32">
        <v>9.4166666666666679</v>
      </c>
      <c r="E474" s="32">
        <v>0</v>
      </c>
      <c r="F474" s="32">
        <v>6038</v>
      </c>
      <c r="G474" s="32">
        <v>0</v>
      </c>
      <c r="H474" s="15" t="s">
        <v>200</v>
      </c>
    </row>
    <row r="475" spans="1:8" x14ac:dyDescent="0.2">
      <c r="A475" t="s">
        <v>13</v>
      </c>
      <c r="B475" t="s">
        <v>150</v>
      </c>
      <c r="C475" s="15" t="s">
        <v>162</v>
      </c>
      <c r="D475" s="32">
        <v>165.96666666666661</v>
      </c>
      <c r="E475" s="32">
        <v>0</v>
      </c>
      <c r="F475" s="32">
        <v>148000</v>
      </c>
      <c r="G475" s="32">
        <v>0</v>
      </c>
      <c r="H475" s="15" t="s">
        <v>200</v>
      </c>
    </row>
    <row r="476" spans="1:8" x14ac:dyDescent="0.2">
      <c r="A476" t="s">
        <v>24</v>
      </c>
      <c r="B476" t="s">
        <v>150</v>
      </c>
      <c r="C476" s="15" t="s">
        <v>162</v>
      </c>
      <c r="D476" s="32">
        <v>178.65</v>
      </c>
      <c r="E476" s="32">
        <v>0</v>
      </c>
      <c r="F476" s="32">
        <v>0</v>
      </c>
      <c r="G476" s="32">
        <v>0</v>
      </c>
      <c r="H476" s="15" t="s">
        <v>200</v>
      </c>
    </row>
    <row r="477" spans="1:8" x14ac:dyDescent="0.2">
      <c r="A477" t="s">
        <v>3</v>
      </c>
      <c r="B477" t="s">
        <v>149</v>
      </c>
      <c r="C477" s="15" t="s">
        <v>162</v>
      </c>
      <c r="D477" s="32">
        <v>3.75</v>
      </c>
      <c r="E477" s="32">
        <v>0</v>
      </c>
      <c r="F477" s="32">
        <v>836.40000000000009</v>
      </c>
      <c r="G477" s="32">
        <v>0</v>
      </c>
      <c r="H477" s="15" t="s">
        <v>200</v>
      </c>
    </row>
    <row r="478" spans="1:8" x14ac:dyDescent="0.2">
      <c r="A478" t="s">
        <v>47</v>
      </c>
      <c r="B478" t="s">
        <v>150</v>
      </c>
      <c r="C478" s="15" t="s">
        <v>162</v>
      </c>
      <c r="D478" s="32">
        <v>56.383333333333326</v>
      </c>
      <c r="E478" s="32">
        <v>0</v>
      </c>
      <c r="F478" s="32">
        <v>0</v>
      </c>
      <c r="G478" s="32">
        <v>0</v>
      </c>
      <c r="H478" s="15" t="s">
        <v>200</v>
      </c>
    </row>
    <row r="479" spans="1:8" x14ac:dyDescent="0.2">
      <c r="A479" t="s">
        <v>6</v>
      </c>
      <c r="B479" t="s">
        <v>149</v>
      </c>
      <c r="C479" s="15" t="s">
        <v>162</v>
      </c>
      <c r="D479" s="32">
        <v>54</v>
      </c>
      <c r="E479" s="32">
        <v>0</v>
      </c>
      <c r="F479" s="32">
        <v>0</v>
      </c>
      <c r="G479" s="32">
        <v>0</v>
      </c>
      <c r="H479" s="15" t="s">
        <v>200</v>
      </c>
    </row>
    <row r="480" spans="1:8" x14ac:dyDescent="0.2">
      <c r="A480" t="s">
        <v>46</v>
      </c>
      <c r="B480" t="s">
        <v>150</v>
      </c>
      <c r="C480" s="15" t="s">
        <v>162</v>
      </c>
      <c r="D480" s="32">
        <v>10.383333333333333</v>
      </c>
      <c r="E480" s="32">
        <v>0</v>
      </c>
      <c r="F480" s="32">
        <v>9760</v>
      </c>
      <c r="G480" s="32">
        <v>0</v>
      </c>
      <c r="H480" s="15" t="s">
        <v>200</v>
      </c>
    </row>
    <row r="481" spans="1:8" x14ac:dyDescent="0.2">
      <c r="A481" t="s">
        <v>96</v>
      </c>
      <c r="B481" t="s">
        <v>153</v>
      </c>
      <c r="C481" s="15" t="s">
        <v>162</v>
      </c>
      <c r="D481" s="32">
        <v>84.266666666666666</v>
      </c>
      <c r="E481" s="32">
        <v>0</v>
      </c>
      <c r="F481" s="32">
        <v>35484</v>
      </c>
      <c r="G481" s="32">
        <v>0</v>
      </c>
      <c r="H481" s="15" t="s">
        <v>200</v>
      </c>
    </row>
    <row r="482" spans="1:8" x14ac:dyDescent="0.2">
      <c r="A482" t="s">
        <v>164</v>
      </c>
      <c r="B482" t="s">
        <v>150</v>
      </c>
      <c r="C482" s="15" t="s">
        <v>162</v>
      </c>
      <c r="D482" s="32">
        <v>13.799999999999999</v>
      </c>
      <c r="E482" s="32">
        <v>0</v>
      </c>
      <c r="F482" s="32">
        <v>0</v>
      </c>
      <c r="G482" s="32">
        <v>0</v>
      </c>
      <c r="H482" s="15" t="s">
        <v>200</v>
      </c>
    </row>
    <row r="483" spans="1:8" x14ac:dyDescent="0.2">
      <c r="A483" t="s">
        <v>177</v>
      </c>
      <c r="B483" t="s">
        <v>153</v>
      </c>
      <c r="C483" s="15" t="s">
        <v>162</v>
      </c>
      <c r="D483" s="32">
        <v>88.833333333333343</v>
      </c>
      <c r="E483" s="32">
        <v>0</v>
      </c>
      <c r="F483" s="32">
        <v>16676</v>
      </c>
      <c r="G483" s="32">
        <v>0</v>
      </c>
      <c r="H483" s="15" t="s">
        <v>200</v>
      </c>
    </row>
    <row r="484" spans="1:8" x14ac:dyDescent="0.2">
      <c r="A484" t="s">
        <v>98</v>
      </c>
      <c r="B484" t="s">
        <v>153</v>
      </c>
      <c r="C484" s="15" t="s">
        <v>162</v>
      </c>
      <c r="D484" s="32">
        <v>96.4</v>
      </c>
      <c r="E484" s="32">
        <v>0</v>
      </c>
      <c r="F484" s="32">
        <v>31860</v>
      </c>
      <c r="G484" s="32">
        <v>0</v>
      </c>
      <c r="H484" s="15" t="s">
        <v>200</v>
      </c>
    </row>
    <row r="485" spans="1:8" x14ac:dyDescent="0.2">
      <c r="A485" t="s">
        <v>49</v>
      </c>
      <c r="B485" t="s">
        <v>153</v>
      </c>
      <c r="C485" s="15" t="s">
        <v>162</v>
      </c>
      <c r="D485" s="32">
        <v>33.75</v>
      </c>
      <c r="E485" s="32">
        <v>0</v>
      </c>
      <c r="F485" s="32">
        <v>6135</v>
      </c>
      <c r="G485" s="32">
        <v>0</v>
      </c>
      <c r="H485" s="15" t="s">
        <v>200</v>
      </c>
    </row>
    <row r="486" spans="1:8" x14ac:dyDescent="0.2">
      <c r="A486" t="s">
        <v>165</v>
      </c>
      <c r="B486" t="s">
        <v>150</v>
      </c>
      <c r="C486" s="15" t="s">
        <v>162</v>
      </c>
      <c r="D486" s="32">
        <v>6</v>
      </c>
      <c r="E486" s="32">
        <v>0</v>
      </c>
      <c r="F486" s="32">
        <v>0</v>
      </c>
      <c r="G486" s="32">
        <v>0</v>
      </c>
      <c r="H486" s="15" t="s">
        <v>200</v>
      </c>
    </row>
    <row r="487" spans="1:8" x14ac:dyDescent="0.2">
      <c r="A487" t="s">
        <v>69</v>
      </c>
      <c r="B487" t="s">
        <v>151</v>
      </c>
      <c r="C487" s="15" t="s">
        <v>162</v>
      </c>
      <c r="D487" s="32">
        <v>18.3</v>
      </c>
      <c r="E487" s="32">
        <v>0</v>
      </c>
      <c r="F487" s="32">
        <v>15273</v>
      </c>
      <c r="G487" s="32">
        <v>0</v>
      </c>
      <c r="H487" s="15" t="s">
        <v>200</v>
      </c>
    </row>
    <row r="488" spans="1:8" x14ac:dyDescent="0.2">
      <c r="A488" t="s">
        <v>113</v>
      </c>
      <c r="B488" t="s">
        <v>150</v>
      </c>
      <c r="C488" s="15" t="s">
        <v>162</v>
      </c>
      <c r="D488" s="32">
        <v>11.666666666666668</v>
      </c>
      <c r="E488" s="32">
        <v>0</v>
      </c>
      <c r="F488" s="32">
        <v>11985</v>
      </c>
      <c r="G488" s="32">
        <v>0</v>
      </c>
      <c r="H488" s="15" t="s">
        <v>200</v>
      </c>
    </row>
    <row r="489" spans="1:8" x14ac:dyDescent="0.2">
      <c r="A489" t="s">
        <v>202</v>
      </c>
      <c r="B489" t="s">
        <v>150</v>
      </c>
      <c r="C489" s="15" t="s">
        <v>162</v>
      </c>
      <c r="D489" s="32">
        <v>2.7666666666666666</v>
      </c>
      <c r="E489" s="32">
        <v>0</v>
      </c>
      <c r="F489" s="32">
        <v>0</v>
      </c>
      <c r="G489" s="32">
        <v>0</v>
      </c>
      <c r="H489" s="15" t="s">
        <v>200</v>
      </c>
    </row>
    <row r="490" spans="1:8" x14ac:dyDescent="0.2">
      <c r="A490" t="s">
        <v>80</v>
      </c>
      <c r="B490" t="s">
        <v>150</v>
      </c>
      <c r="C490" s="15" t="s">
        <v>162</v>
      </c>
      <c r="D490" s="32">
        <v>68.633333333333326</v>
      </c>
      <c r="E490" s="32">
        <v>0</v>
      </c>
      <c r="F490" s="32">
        <v>33170</v>
      </c>
      <c r="G490" s="32">
        <v>0</v>
      </c>
      <c r="H490" s="15" t="s">
        <v>200</v>
      </c>
    </row>
    <row r="491" spans="1:8" x14ac:dyDescent="0.2">
      <c r="A491" t="s">
        <v>178</v>
      </c>
      <c r="B491" t="s">
        <v>153</v>
      </c>
      <c r="C491" s="15" t="s">
        <v>162</v>
      </c>
      <c r="D491" s="32">
        <v>1251.0833333333333</v>
      </c>
      <c r="E491" s="32">
        <v>0</v>
      </c>
      <c r="F491" s="32">
        <v>651740</v>
      </c>
      <c r="G491" s="32">
        <v>0</v>
      </c>
      <c r="H491" s="15" t="s">
        <v>200</v>
      </c>
    </row>
    <row r="492" spans="1:8" x14ac:dyDescent="0.2">
      <c r="A492" t="s">
        <v>21</v>
      </c>
      <c r="B492" t="s">
        <v>153</v>
      </c>
      <c r="C492" s="15" t="s">
        <v>162</v>
      </c>
      <c r="D492" s="32">
        <v>72.3</v>
      </c>
      <c r="E492" s="32">
        <v>0</v>
      </c>
      <c r="F492" s="32">
        <v>28120</v>
      </c>
      <c r="G492" s="32">
        <v>0</v>
      </c>
      <c r="H492" s="15" t="s">
        <v>200</v>
      </c>
    </row>
    <row r="493" spans="1:8" x14ac:dyDescent="0.2">
      <c r="A493" t="s">
        <v>71</v>
      </c>
      <c r="B493" t="s">
        <v>153</v>
      </c>
      <c r="C493" s="15" t="s">
        <v>162</v>
      </c>
      <c r="D493" s="32">
        <v>120.03333333333332</v>
      </c>
      <c r="E493" s="32">
        <v>0</v>
      </c>
      <c r="F493" s="32">
        <v>56800</v>
      </c>
      <c r="G493" s="32">
        <v>0</v>
      </c>
      <c r="H493" s="15" t="s">
        <v>200</v>
      </c>
    </row>
    <row r="494" spans="1:8" x14ac:dyDescent="0.2">
      <c r="A494" t="s">
        <v>25</v>
      </c>
      <c r="B494" t="s">
        <v>150</v>
      </c>
      <c r="C494" s="15" t="s">
        <v>162</v>
      </c>
      <c r="D494" s="32">
        <v>87.816666666666677</v>
      </c>
      <c r="E494" s="32">
        <v>0</v>
      </c>
      <c r="F494" s="32">
        <v>0</v>
      </c>
      <c r="G494" s="32">
        <v>0</v>
      </c>
      <c r="H494" s="15" t="s">
        <v>200</v>
      </c>
    </row>
    <row r="495" spans="1:8" x14ac:dyDescent="0.2">
      <c r="A495" t="s">
        <v>107</v>
      </c>
      <c r="B495" t="s">
        <v>150</v>
      </c>
      <c r="C495" s="15" t="s">
        <v>162</v>
      </c>
      <c r="D495" s="32">
        <v>19.333333333333329</v>
      </c>
      <c r="E495" s="32">
        <v>0</v>
      </c>
      <c r="F495" s="32">
        <v>5175</v>
      </c>
      <c r="G495" s="32">
        <v>0</v>
      </c>
      <c r="H495" s="15" t="s">
        <v>200</v>
      </c>
    </row>
    <row r="496" spans="1:8" x14ac:dyDescent="0.2">
      <c r="A496" t="s">
        <v>201</v>
      </c>
      <c r="B496" t="s">
        <v>153</v>
      </c>
      <c r="C496" s="15" t="s">
        <v>162</v>
      </c>
      <c r="D496" s="32">
        <v>127.21666666666667</v>
      </c>
      <c r="E496" s="32">
        <v>0</v>
      </c>
      <c r="F496" s="32">
        <v>52060</v>
      </c>
      <c r="G496" s="32">
        <v>0</v>
      </c>
      <c r="H496" s="15" t="s">
        <v>200</v>
      </c>
    </row>
    <row r="497" spans="1:8" x14ac:dyDescent="0.2">
      <c r="A497" t="s">
        <v>108</v>
      </c>
      <c r="B497" t="s">
        <v>149</v>
      </c>
      <c r="C497" s="15" t="s">
        <v>161</v>
      </c>
      <c r="D497" s="32">
        <v>46.45</v>
      </c>
      <c r="E497" s="32">
        <v>7</v>
      </c>
      <c r="F497" s="32">
        <v>14101</v>
      </c>
      <c r="G497" s="32">
        <v>0</v>
      </c>
      <c r="H497" s="15" t="s">
        <v>204</v>
      </c>
    </row>
    <row r="498" spans="1:8" x14ac:dyDescent="0.2">
      <c r="A498" t="s">
        <v>42</v>
      </c>
      <c r="B498" t="s">
        <v>149</v>
      </c>
      <c r="C498" s="15" t="s">
        <v>161</v>
      </c>
      <c r="D498" s="32">
        <v>110.58333333333334</v>
      </c>
      <c r="E498" s="32">
        <v>0</v>
      </c>
      <c r="F498" s="32">
        <v>0</v>
      </c>
      <c r="G498" s="32">
        <v>0</v>
      </c>
      <c r="H498" s="15" t="s">
        <v>204</v>
      </c>
    </row>
    <row r="499" spans="1:8" x14ac:dyDescent="0.2">
      <c r="A499" t="s">
        <v>2</v>
      </c>
      <c r="B499" t="s">
        <v>149</v>
      </c>
      <c r="C499" s="15" t="s">
        <v>161</v>
      </c>
      <c r="D499" s="32">
        <v>3.0833333333333335</v>
      </c>
      <c r="E499" s="32">
        <v>0</v>
      </c>
      <c r="F499" s="32">
        <v>450</v>
      </c>
      <c r="G499" s="32">
        <v>0</v>
      </c>
      <c r="H499" s="15" t="s">
        <v>204</v>
      </c>
    </row>
    <row r="500" spans="1:8" x14ac:dyDescent="0.2">
      <c r="A500" t="s">
        <v>1</v>
      </c>
      <c r="B500" t="s">
        <v>149</v>
      </c>
      <c r="C500" s="15" t="s">
        <v>161</v>
      </c>
      <c r="D500" s="32">
        <v>18.649999999999999</v>
      </c>
      <c r="E500" s="32">
        <v>0</v>
      </c>
      <c r="F500" s="32">
        <v>4218</v>
      </c>
      <c r="G500" s="32">
        <v>0</v>
      </c>
      <c r="H500" s="15" t="s">
        <v>204</v>
      </c>
    </row>
    <row r="501" spans="1:8" x14ac:dyDescent="0.2">
      <c r="A501" t="s">
        <v>27</v>
      </c>
      <c r="B501" t="s">
        <v>149</v>
      </c>
      <c r="C501" s="15" t="s">
        <v>161</v>
      </c>
      <c r="D501" s="32">
        <v>522.75000000000023</v>
      </c>
      <c r="E501" s="32">
        <v>0</v>
      </c>
      <c r="F501" s="32">
        <v>0</v>
      </c>
      <c r="G501" s="32">
        <v>0</v>
      </c>
      <c r="H501" s="15" t="s">
        <v>204</v>
      </c>
    </row>
    <row r="502" spans="1:8" x14ac:dyDescent="0.2">
      <c r="A502" t="s">
        <v>23</v>
      </c>
      <c r="B502" t="s">
        <v>149</v>
      </c>
      <c r="C502" s="15" t="s">
        <v>161</v>
      </c>
      <c r="D502" s="32">
        <v>41.000000000000007</v>
      </c>
      <c r="E502" s="32">
        <v>0</v>
      </c>
      <c r="F502" s="32">
        <v>0</v>
      </c>
      <c r="G502" s="32">
        <v>0</v>
      </c>
      <c r="H502" s="15" t="s">
        <v>204</v>
      </c>
    </row>
    <row r="503" spans="1:8" x14ac:dyDescent="0.2">
      <c r="A503" t="s">
        <v>3</v>
      </c>
      <c r="B503" t="s">
        <v>149</v>
      </c>
      <c r="C503" s="15" t="s">
        <v>161</v>
      </c>
      <c r="D503" s="32">
        <v>1.1166666666666667</v>
      </c>
      <c r="E503" s="32">
        <v>0</v>
      </c>
      <c r="F503" s="32">
        <v>557.6</v>
      </c>
      <c r="G503" s="32">
        <v>0</v>
      </c>
      <c r="H503" s="15" t="s">
        <v>204</v>
      </c>
    </row>
    <row r="504" spans="1:8" x14ac:dyDescent="0.2">
      <c r="A504" t="s">
        <v>6</v>
      </c>
      <c r="B504" t="s">
        <v>149</v>
      </c>
      <c r="C504" s="15" t="s">
        <v>161</v>
      </c>
      <c r="D504" s="32">
        <v>40</v>
      </c>
      <c r="E504" s="32">
        <v>0</v>
      </c>
      <c r="F504" s="32">
        <v>0</v>
      </c>
      <c r="G504" s="32">
        <v>0</v>
      </c>
      <c r="H504" s="15" t="s">
        <v>204</v>
      </c>
    </row>
    <row r="505" spans="1:8" x14ac:dyDescent="0.2">
      <c r="A505" t="s">
        <v>194</v>
      </c>
      <c r="B505" t="s">
        <v>149</v>
      </c>
      <c r="C505" s="15" t="s">
        <v>161</v>
      </c>
      <c r="D505" s="32">
        <v>245.99999999999997</v>
      </c>
      <c r="E505" s="32">
        <v>0</v>
      </c>
      <c r="F505" s="32">
        <v>0</v>
      </c>
      <c r="G505" s="32">
        <v>0</v>
      </c>
      <c r="H505" s="15" t="s">
        <v>204</v>
      </c>
    </row>
    <row r="506" spans="1:8" x14ac:dyDescent="0.2">
      <c r="A506" t="s">
        <v>4</v>
      </c>
      <c r="B506" t="s">
        <v>149</v>
      </c>
      <c r="C506" s="15" t="s">
        <v>162</v>
      </c>
      <c r="D506" s="32">
        <v>2.25</v>
      </c>
      <c r="E506" s="32">
        <v>0</v>
      </c>
      <c r="F506" s="32">
        <v>113</v>
      </c>
      <c r="G506" s="32">
        <v>0</v>
      </c>
      <c r="H506" s="15" t="s">
        <v>204</v>
      </c>
    </row>
    <row r="507" spans="1:8" x14ac:dyDescent="0.2">
      <c r="A507" t="s">
        <v>2</v>
      </c>
      <c r="B507" t="s">
        <v>149</v>
      </c>
      <c r="C507" s="15" t="s">
        <v>162</v>
      </c>
      <c r="D507" s="32">
        <v>157.66666666666666</v>
      </c>
      <c r="E507" s="32">
        <v>0</v>
      </c>
      <c r="F507" s="32">
        <v>69139</v>
      </c>
      <c r="G507" s="32">
        <v>0</v>
      </c>
      <c r="H507" s="15" t="s">
        <v>204</v>
      </c>
    </row>
    <row r="508" spans="1:8" x14ac:dyDescent="0.2">
      <c r="A508" t="s">
        <v>1</v>
      </c>
      <c r="B508" t="s">
        <v>149</v>
      </c>
      <c r="C508" s="15" t="s">
        <v>162</v>
      </c>
      <c r="D508" s="32">
        <v>10.433333333333334</v>
      </c>
      <c r="E508" s="32">
        <v>0</v>
      </c>
      <c r="F508" s="32">
        <v>2284</v>
      </c>
      <c r="G508" s="32">
        <v>0</v>
      </c>
      <c r="H508" s="15" t="s">
        <v>204</v>
      </c>
    </row>
    <row r="509" spans="1:8" x14ac:dyDescent="0.2">
      <c r="A509" t="s">
        <v>27</v>
      </c>
      <c r="B509" t="s">
        <v>149</v>
      </c>
      <c r="C509" s="15" t="s">
        <v>162</v>
      </c>
      <c r="D509" s="32">
        <v>105.86666666666667</v>
      </c>
      <c r="E509" s="32">
        <v>0</v>
      </c>
      <c r="F509" s="32">
        <v>0</v>
      </c>
      <c r="G509" s="32">
        <v>0</v>
      </c>
      <c r="H509" s="15" t="s">
        <v>204</v>
      </c>
    </row>
    <row r="510" spans="1:8" x14ac:dyDescent="0.2">
      <c r="A510" t="s">
        <v>68</v>
      </c>
      <c r="B510" t="s">
        <v>151</v>
      </c>
      <c r="C510" s="15" t="s">
        <v>162</v>
      </c>
      <c r="D510" s="32">
        <v>581.83333333333394</v>
      </c>
      <c r="E510" s="32">
        <v>0</v>
      </c>
      <c r="F510" s="32">
        <v>367183</v>
      </c>
      <c r="G510" s="32">
        <v>0</v>
      </c>
      <c r="H510" s="15" t="s">
        <v>204</v>
      </c>
    </row>
    <row r="511" spans="1:8" x14ac:dyDescent="0.2">
      <c r="A511" t="s">
        <v>10</v>
      </c>
      <c r="B511" t="s">
        <v>150</v>
      </c>
      <c r="C511" s="15" t="s">
        <v>162</v>
      </c>
      <c r="D511" s="32">
        <v>57.333333333333329</v>
      </c>
      <c r="E511" s="32">
        <v>0</v>
      </c>
      <c r="F511" s="32">
        <v>310089</v>
      </c>
      <c r="G511" s="32">
        <v>0</v>
      </c>
      <c r="H511" s="15" t="s">
        <v>204</v>
      </c>
    </row>
    <row r="512" spans="1:8" x14ac:dyDescent="0.2">
      <c r="A512" t="s">
        <v>105</v>
      </c>
      <c r="B512" t="s">
        <v>150</v>
      </c>
      <c r="C512" s="15" t="s">
        <v>162</v>
      </c>
      <c r="D512" s="32">
        <v>8.8000000000000007</v>
      </c>
      <c r="E512" s="32">
        <v>0</v>
      </c>
      <c r="F512" s="32">
        <v>0</v>
      </c>
      <c r="G512" s="32">
        <v>0</v>
      </c>
      <c r="H512" s="15" t="s">
        <v>204</v>
      </c>
    </row>
    <row r="513" spans="1:8" x14ac:dyDescent="0.2">
      <c r="A513" t="s">
        <v>75</v>
      </c>
      <c r="B513" t="s">
        <v>150</v>
      </c>
      <c r="C513" s="15" t="s">
        <v>162</v>
      </c>
      <c r="D513" s="32">
        <v>14.416666666666666</v>
      </c>
      <c r="E513" s="32">
        <v>0</v>
      </c>
      <c r="F513" s="32">
        <v>0</v>
      </c>
      <c r="G513" s="32">
        <v>0</v>
      </c>
      <c r="H513" s="15" t="s">
        <v>204</v>
      </c>
    </row>
    <row r="514" spans="1:8" x14ac:dyDescent="0.2">
      <c r="A514" t="s">
        <v>52</v>
      </c>
      <c r="B514" t="s">
        <v>150</v>
      </c>
      <c r="C514" s="15" t="s">
        <v>162</v>
      </c>
      <c r="D514" s="32">
        <v>35.083333333333329</v>
      </c>
      <c r="E514" s="32">
        <v>0</v>
      </c>
      <c r="F514" s="32">
        <v>0</v>
      </c>
      <c r="G514" s="32">
        <v>0</v>
      </c>
      <c r="H514" s="15" t="s">
        <v>204</v>
      </c>
    </row>
    <row r="515" spans="1:8" x14ac:dyDescent="0.2">
      <c r="A515" t="s">
        <v>34</v>
      </c>
      <c r="B515" t="s">
        <v>152</v>
      </c>
      <c r="C515" s="15" t="s">
        <v>162</v>
      </c>
      <c r="D515" s="32">
        <v>3</v>
      </c>
      <c r="E515" s="32">
        <v>0</v>
      </c>
      <c r="F515" s="32">
        <v>1366</v>
      </c>
      <c r="G515" s="32">
        <v>0</v>
      </c>
      <c r="H515" s="15" t="s">
        <v>204</v>
      </c>
    </row>
    <row r="516" spans="1:8" x14ac:dyDescent="0.2">
      <c r="A516" t="s">
        <v>163</v>
      </c>
      <c r="B516" t="s">
        <v>150</v>
      </c>
      <c r="C516" s="15" t="s">
        <v>162</v>
      </c>
      <c r="D516" s="32">
        <v>18.883333333333333</v>
      </c>
      <c r="E516" s="32">
        <v>0</v>
      </c>
      <c r="F516" s="32">
        <v>0</v>
      </c>
      <c r="G516" s="32">
        <v>0</v>
      </c>
      <c r="H516" s="15" t="s">
        <v>204</v>
      </c>
    </row>
    <row r="517" spans="1:8" x14ac:dyDescent="0.2">
      <c r="A517" t="s">
        <v>93</v>
      </c>
      <c r="B517" t="s">
        <v>150</v>
      </c>
      <c r="C517" s="15" t="s">
        <v>162</v>
      </c>
      <c r="D517" s="32">
        <v>6</v>
      </c>
      <c r="E517" s="32">
        <v>0</v>
      </c>
      <c r="F517" s="32">
        <v>0</v>
      </c>
      <c r="G517" s="32">
        <v>0</v>
      </c>
      <c r="H517" s="15" t="s">
        <v>204</v>
      </c>
    </row>
    <row r="518" spans="1:8" x14ac:dyDescent="0.2">
      <c r="A518" t="s">
        <v>9</v>
      </c>
      <c r="B518" t="s">
        <v>150</v>
      </c>
      <c r="C518" s="15" t="s">
        <v>162</v>
      </c>
      <c r="D518" s="32">
        <v>5.7333333333333334</v>
      </c>
      <c r="E518" s="32">
        <v>0</v>
      </c>
      <c r="F518" s="32">
        <v>1464</v>
      </c>
      <c r="G518" s="32">
        <v>0</v>
      </c>
      <c r="H518" s="15" t="s">
        <v>204</v>
      </c>
    </row>
    <row r="519" spans="1:8" x14ac:dyDescent="0.2">
      <c r="A519" t="s">
        <v>115</v>
      </c>
      <c r="B519" t="s">
        <v>153</v>
      </c>
      <c r="C519" s="15" t="s">
        <v>162</v>
      </c>
      <c r="D519" s="32">
        <v>10.583333333333334</v>
      </c>
      <c r="E519" s="32">
        <v>0</v>
      </c>
      <c r="F519" s="32">
        <v>7990</v>
      </c>
      <c r="G519" s="32">
        <v>0</v>
      </c>
      <c r="H519" s="15" t="s">
        <v>204</v>
      </c>
    </row>
    <row r="520" spans="1:8" x14ac:dyDescent="0.2">
      <c r="A520" t="s">
        <v>13</v>
      </c>
      <c r="B520" t="s">
        <v>150</v>
      </c>
      <c r="C520" s="15" t="s">
        <v>162</v>
      </c>
      <c r="D520" s="32">
        <v>171.91666666666663</v>
      </c>
      <c r="E520" s="32">
        <v>0</v>
      </c>
      <c r="F520" s="32">
        <v>171120</v>
      </c>
      <c r="G520" s="32">
        <v>0</v>
      </c>
      <c r="H520" s="15" t="s">
        <v>204</v>
      </c>
    </row>
    <row r="521" spans="1:8" x14ac:dyDescent="0.2">
      <c r="A521" t="s">
        <v>24</v>
      </c>
      <c r="B521" t="s">
        <v>150</v>
      </c>
      <c r="C521" s="15" t="s">
        <v>162</v>
      </c>
      <c r="D521" s="32">
        <v>127.20000000000002</v>
      </c>
      <c r="E521" s="32">
        <v>0</v>
      </c>
      <c r="F521" s="32">
        <v>0</v>
      </c>
      <c r="G521" s="32">
        <v>0</v>
      </c>
      <c r="H521" s="15" t="s">
        <v>204</v>
      </c>
    </row>
    <row r="522" spans="1:8" x14ac:dyDescent="0.2">
      <c r="A522" t="s">
        <v>47</v>
      </c>
      <c r="B522" t="s">
        <v>150</v>
      </c>
      <c r="C522" s="15" t="s">
        <v>162</v>
      </c>
      <c r="D522" s="32">
        <v>32.13333333333334</v>
      </c>
      <c r="E522" s="32">
        <v>0</v>
      </c>
      <c r="F522" s="32">
        <v>0</v>
      </c>
      <c r="G522" s="32">
        <v>0</v>
      </c>
      <c r="H522" s="15" t="s">
        <v>204</v>
      </c>
    </row>
    <row r="523" spans="1:8" x14ac:dyDescent="0.2">
      <c r="A523" t="s">
        <v>104</v>
      </c>
      <c r="B523" t="s">
        <v>150</v>
      </c>
      <c r="C523" s="15" t="s">
        <v>162</v>
      </c>
      <c r="D523" s="32">
        <v>8.0500000000000007</v>
      </c>
      <c r="E523" s="32">
        <v>0</v>
      </c>
      <c r="F523" s="32">
        <v>0</v>
      </c>
      <c r="G523" s="32">
        <v>0</v>
      </c>
      <c r="H523" s="15" t="s">
        <v>204</v>
      </c>
    </row>
    <row r="524" spans="1:8" x14ac:dyDescent="0.2">
      <c r="A524" t="s">
        <v>32</v>
      </c>
      <c r="B524" t="s">
        <v>152</v>
      </c>
      <c r="C524" s="15" t="s">
        <v>162</v>
      </c>
      <c r="D524" s="32">
        <v>8.3333333333333339</v>
      </c>
      <c r="E524" s="32">
        <v>0</v>
      </c>
      <c r="F524" s="32">
        <v>6019</v>
      </c>
      <c r="G524" s="32">
        <v>0</v>
      </c>
      <c r="H524" s="15" t="s">
        <v>204</v>
      </c>
    </row>
    <row r="525" spans="1:8" x14ac:dyDescent="0.2">
      <c r="A525" t="s">
        <v>6</v>
      </c>
      <c r="B525" t="s">
        <v>149</v>
      </c>
      <c r="C525" s="15" t="s">
        <v>162</v>
      </c>
      <c r="D525" s="32">
        <v>62</v>
      </c>
      <c r="E525" s="32">
        <v>0</v>
      </c>
      <c r="F525" s="32">
        <v>0</v>
      </c>
      <c r="G525" s="32">
        <v>0</v>
      </c>
      <c r="H525" s="15" t="s">
        <v>204</v>
      </c>
    </row>
    <row r="526" spans="1:8" x14ac:dyDescent="0.2">
      <c r="A526" t="s">
        <v>46</v>
      </c>
      <c r="B526" t="s">
        <v>150</v>
      </c>
      <c r="C526" s="15" t="s">
        <v>162</v>
      </c>
      <c r="D526" s="32">
        <v>16.883333333333333</v>
      </c>
      <c r="E526" s="32">
        <v>0</v>
      </c>
      <c r="F526" s="32">
        <v>12220</v>
      </c>
      <c r="G526" s="32">
        <v>0</v>
      </c>
      <c r="H526" s="15" t="s">
        <v>204</v>
      </c>
    </row>
    <row r="527" spans="1:8" x14ac:dyDescent="0.2">
      <c r="A527" t="s">
        <v>38</v>
      </c>
      <c r="B527" t="s">
        <v>150</v>
      </c>
      <c r="C527" s="15" t="s">
        <v>162</v>
      </c>
      <c r="D527" s="32">
        <v>11.333333333333334</v>
      </c>
      <c r="E527" s="32">
        <v>0</v>
      </c>
      <c r="F527" s="32">
        <v>9510</v>
      </c>
      <c r="G527" s="32">
        <v>0</v>
      </c>
      <c r="H527" s="15" t="s">
        <v>204</v>
      </c>
    </row>
    <row r="528" spans="1:8" x14ac:dyDescent="0.2">
      <c r="A528" t="s">
        <v>96</v>
      </c>
      <c r="B528" t="s">
        <v>153</v>
      </c>
      <c r="C528" s="15" t="s">
        <v>162</v>
      </c>
      <c r="D528" s="32">
        <v>67.3</v>
      </c>
      <c r="E528" s="32">
        <v>0</v>
      </c>
      <c r="F528" s="32">
        <v>140277</v>
      </c>
      <c r="G528" s="32">
        <v>0</v>
      </c>
      <c r="H528" s="15" t="s">
        <v>204</v>
      </c>
    </row>
    <row r="529" spans="1:8" x14ac:dyDescent="0.2">
      <c r="A529" t="s">
        <v>164</v>
      </c>
      <c r="B529" t="s">
        <v>150</v>
      </c>
      <c r="C529" s="15" t="s">
        <v>162</v>
      </c>
      <c r="D529" s="32">
        <v>2.4</v>
      </c>
      <c r="E529" s="32">
        <v>0</v>
      </c>
      <c r="F529" s="32">
        <v>0</v>
      </c>
      <c r="G529" s="32">
        <v>0</v>
      </c>
      <c r="H529" s="15" t="s">
        <v>204</v>
      </c>
    </row>
    <row r="530" spans="1:8" x14ac:dyDescent="0.2">
      <c r="A530" t="s">
        <v>177</v>
      </c>
      <c r="B530" t="s">
        <v>153</v>
      </c>
      <c r="C530" s="15" t="s">
        <v>162</v>
      </c>
      <c r="D530" s="32">
        <v>94.3</v>
      </c>
      <c r="E530" s="32">
        <v>0</v>
      </c>
      <c r="F530" s="32">
        <v>18857</v>
      </c>
      <c r="G530" s="32">
        <v>0</v>
      </c>
      <c r="H530" s="15" t="s">
        <v>204</v>
      </c>
    </row>
    <row r="531" spans="1:8" x14ac:dyDescent="0.2">
      <c r="A531" t="s">
        <v>98</v>
      </c>
      <c r="B531" t="s">
        <v>153</v>
      </c>
      <c r="C531" s="15" t="s">
        <v>162</v>
      </c>
      <c r="D531" s="32">
        <v>96.4</v>
      </c>
      <c r="E531" s="32">
        <v>0</v>
      </c>
      <c r="F531" s="32">
        <v>39400</v>
      </c>
      <c r="G531" s="32">
        <v>0</v>
      </c>
      <c r="H531" s="15" t="s">
        <v>204</v>
      </c>
    </row>
    <row r="532" spans="1:8" x14ac:dyDescent="0.2">
      <c r="A532" t="s">
        <v>49</v>
      </c>
      <c r="B532" t="s">
        <v>153</v>
      </c>
      <c r="C532" s="15" t="s">
        <v>162</v>
      </c>
      <c r="D532" s="32">
        <v>90</v>
      </c>
      <c r="E532" s="32">
        <v>0</v>
      </c>
      <c r="F532" s="32">
        <v>16395</v>
      </c>
      <c r="G532" s="32">
        <v>0</v>
      </c>
      <c r="H532" s="15" t="s">
        <v>204</v>
      </c>
    </row>
    <row r="533" spans="1:8" x14ac:dyDescent="0.2">
      <c r="A533" t="s">
        <v>69</v>
      </c>
      <c r="B533" t="s">
        <v>151</v>
      </c>
      <c r="C533" s="15" t="s">
        <v>162</v>
      </c>
      <c r="D533" s="32">
        <v>298.33333333333326</v>
      </c>
      <c r="E533" s="32">
        <v>0</v>
      </c>
      <c r="F533" s="32">
        <v>193251</v>
      </c>
      <c r="G533" s="32">
        <v>0</v>
      </c>
      <c r="H533" s="15" t="s">
        <v>204</v>
      </c>
    </row>
    <row r="534" spans="1:8" x14ac:dyDescent="0.2">
      <c r="A534" t="s">
        <v>113</v>
      </c>
      <c r="B534" t="s">
        <v>150</v>
      </c>
      <c r="C534" s="15" t="s">
        <v>162</v>
      </c>
      <c r="D534" s="32">
        <v>16.666666666666668</v>
      </c>
      <c r="E534" s="32">
        <v>0</v>
      </c>
      <c r="F534" s="32">
        <v>18090</v>
      </c>
      <c r="G534" s="32">
        <v>0</v>
      </c>
      <c r="H534" s="15" t="s">
        <v>204</v>
      </c>
    </row>
    <row r="535" spans="1:8" x14ac:dyDescent="0.2">
      <c r="A535" t="s">
        <v>178</v>
      </c>
      <c r="B535" t="s">
        <v>153</v>
      </c>
      <c r="C535" s="15" t="s">
        <v>162</v>
      </c>
      <c r="D535" s="32">
        <v>1216.8166666666668</v>
      </c>
      <c r="E535" s="32">
        <v>0</v>
      </c>
      <c r="F535" s="32">
        <v>664320</v>
      </c>
      <c r="G535" s="32">
        <v>0</v>
      </c>
      <c r="H535" s="15" t="s">
        <v>204</v>
      </c>
    </row>
    <row r="536" spans="1:8" x14ac:dyDescent="0.2">
      <c r="A536" t="s">
        <v>21</v>
      </c>
      <c r="B536" t="s">
        <v>153</v>
      </c>
      <c r="C536" s="15" t="s">
        <v>162</v>
      </c>
      <c r="D536" s="32">
        <v>72.3</v>
      </c>
      <c r="E536" s="32">
        <v>0</v>
      </c>
      <c r="F536" s="32">
        <v>32440</v>
      </c>
      <c r="G536" s="32">
        <v>0</v>
      </c>
      <c r="H536" s="15" t="s">
        <v>204</v>
      </c>
    </row>
    <row r="537" spans="1:8" x14ac:dyDescent="0.2">
      <c r="A537" t="s">
        <v>71</v>
      </c>
      <c r="B537" t="s">
        <v>153</v>
      </c>
      <c r="C537" s="15" t="s">
        <v>162</v>
      </c>
      <c r="D537" s="32">
        <v>262.56666666666672</v>
      </c>
      <c r="E537" s="32">
        <v>0</v>
      </c>
      <c r="F537" s="32">
        <v>136140</v>
      </c>
      <c r="G537" s="32">
        <v>0</v>
      </c>
      <c r="H537" s="15" t="s">
        <v>204</v>
      </c>
    </row>
    <row r="538" spans="1:8" x14ac:dyDescent="0.2">
      <c r="A538" t="s">
        <v>25</v>
      </c>
      <c r="B538" t="s">
        <v>150</v>
      </c>
      <c r="C538" s="15" t="s">
        <v>162</v>
      </c>
      <c r="D538" s="32">
        <v>78.933333333333337</v>
      </c>
      <c r="E538" s="32">
        <v>0</v>
      </c>
      <c r="F538" s="32">
        <v>0</v>
      </c>
      <c r="G538" s="32">
        <v>0</v>
      </c>
      <c r="H538" s="15" t="s">
        <v>204</v>
      </c>
    </row>
    <row r="539" spans="1:8" x14ac:dyDescent="0.2">
      <c r="A539" t="s">
        <v>107</v>
      </c>
      <c r="B539" t="s">
        <v>150</v>
      </c>
      <c r="C539" s="15" t="s">
        <v>162</v>
      </c>
      <c r="D539" s="32">
        <v>14.666666666666668</v>
      </c>
      <c r="E539" s="32">
        <v>0</v>
      </c>
      <c r="F539" s="32">
        <v>4100</v>
      </c>
      <c r="G539" s="32">
        <v>0</v>
      </c>
      <c r="H539" s="15" t="s">
        <v>204</v>
      </c>
    </row>
    <row r="540" spans="1:8" x14ac:dyDescent="0.2">
      <c r="A540" t="s">
        <v>198</v>
      </c>
      <c r="B540" t="s">
        <v>153</v>
      </c>
      <c r="C540" s="15" t="s">
        <v>162</v>
      </c>
      <c r="D540" s="32">
        <v>197.85000000000002</v>
      </c>
      <c r="E540" s="32">
        <v>0</v>
      </c>
      <c r="F540" s="32">
        <v>84840</v>
      </c>
      <c r="G540" s="32">
        <v>0</v>
      </c>
      <c r="H540" s="15" t="s">
        <v>204</v>
      </c>
    </row>
  </sheetData>
  <autoFilter ref="A6:H6"/>
  <pageMargins left="0.75" right="0.75" top="1" bottom="1" header="0" footer="0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VLOSREG</vt:lpstr>
      <vt:lpstr>PAXREG</vt:lpstr>
      <vt:lpstr>CARGREG</vt:lpstr>
      <vt:lpstr>OPREG</vt:lpstr>
      <vt:lpstr>VLOSFLET</vt:lpstr>
      <vt:lpstr>PAXFLET</vt:lpstr>
      <vt:lpstr>CARGFLET</vt:lpstr>
      <vt:lpstr>OPFLET</vt:lpstr>
      <vt:lpstr>CARGFLET!Área_de_impresión</vt:lpstr>
      <vt:lpstr>CARGREG!Área_de_impresión</vt:lpstr>
      <vt:lpstr>OPFLET!Área_de_impresión</vt:lpstr>
      <vt:lpstr>OPREG!Área_de_impresión</vt:lpstr>
      <vt:lpstr>PAXFLET!Área_de_impresión</vt:lpstr>
      <vt:lpstr>PAXREG!Área_de_impresión</vt:lpstr>
      <vt:lpstr>VLOSFLET!Área_de_impresión</vt:lpstr>
      <vt:lpstr>VLOSREG!Área_de_impresión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Heliodoro Vidal Velazquez</dc:creator>
  <cp:lastModifiedBy>elopezdm</cp:lastModifiedBy>
  <cp:lastPrinted>2012-12-11T16:25:33Z</cp:lastPrinted>
  <dcterms:created xsi:type="dcterms:W3CDTF">2005-04-25T18:34:12Z</dcterms:created>
  <dcterms:modified xsi:type="dcterms:W3CDTF">2016-02-24T23:21:48Z</dcterms:modified>
</cp:coreProperties>
</file>